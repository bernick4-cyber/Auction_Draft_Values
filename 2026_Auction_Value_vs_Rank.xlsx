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5a94effdcb5c500/Josh Fantasy Football/2026 Fantasy/"/>
    </mc:Choice>
  </mc:AlternateContent>
  <xr:revisionPtr revIDLastSave="0" documentId="8_{69F5D8E5-5886-41B7-A598-375CFCC5A22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uction vs Rank" sheetId="1" r:id="rId1"/>
    <sheet name="Best 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H2" i="1"/>
  <c r="G2" i="1"/>
</calcChain>
</file>

<file path=xl/sharedStrings.xml><?xml version="1.0" encoding="utf-8"?>
<sst xmlns="http://schemas.openxmlformats.org/spreadsheetml/2006/main" count="1781" uniqueCount="502">
  <si>
    <t>Overall Rank</t>
  </si>
  <si>
    <t>Player</t>
  </si>
  <si>
    <t>POS Rank</t>
  </si>
  <si>
    <t>Position</t>
  </si>
  <si>
    <t>Auction $</t>
  </si>
  <si>
    <t>Auction Rank</t>
  </si>
  <si>
    <t>Rank Value</t>
  </si>
  <si>
    <t>Value Label</t>
  </si>
  <si>
    <t>Price Tier</t>
  </si>
  <si>
    <t>How to Read Rank Value</t>
  </si>
  <si>
    <t>Jahmyr Gibbs</t>
  </si>
  <si>
    <t>RB1</t>
  </si>
  <si>
    <t>RB</t>
  </si>
  <si>
    <t>Fair</t>
  </si>
  <si>
    <t>$41+</t>
  </si>
  <si>
    <t>Interpretation</t>
  </si>
  <si>
    <t>Bijan Robinson</t>
  </si>
  <si>
    <t>RB2</t>
  </si>
  <si>
    <t>15+</t>
  </si>
  <si>
    <t>Strong Value</t>
  </si>
  <si>
    <t>Ja'Marr Chase</t>
  </si>
  <si>
    <t>WR1</t>
  </si>
  <si>
    <t>WR</t>
  </si>
  <si>
    <t>5 to 14</t>
  </si>
  <si>
    <t>Value</t>
  </si>
  <si>
    <t>Puka Nacua</t>
  </si>
  <si>
    <t>WR2</t>
  </si>
  <si>
    <t>-4 to 4</t>
  </si>
  <si>
    <t>Jaxon Smith-Njigba</t>
  </si>
  <si>
    <t>WR3</t>
  </si>
  <si>
    <t>-5 to -14</t>
  </si>
  <si>
    <t>Expensive</t>
  </si>
  <si>
    <t>Christian McCaffrey</t>
  </si>
  <si>
    <t>RB3</t>
  </si>
  <si>
    <t>-15 or worse</t>
  </si>
  <si>
    <t>Very Expensive</t>
  </si>
  <si>
    <t>Amon-Ra St. Brown</t>
  </si>
  <si>
    <t>WR4</t>
  </si>
  <si>
    <t>Jonathan Taylor</t>
  </si>
  <si>
    <t>RB4</t>
  </si>
  <si>
    <t>James Cook III</t>
  </si>
  <si>
    <t>RB5</t>
  </si>
  <si>
    <t>$31-$40</t>
  </si>
  <si>
    <t>Ashton Jeanty</t>
  </si>
  <si>
    <t>RB6</t>
  </si>
  <si>
    <t>CeeDee Lamb</t>
  </si>
  <si>
    <t>WR5</t>
  </si>
  <si>
    <t>Justin Jefferson</t>
  </si>
  <si>
    <t>WR6</t>
  </si>
  <si>
    <t>Saquon Barkley</t>
  </si>
  <si>
    <t>RB7</t>
  </si>
  <si>
    <t>Chase Brown</t>
  </si>
  <si>
    <t>RB8</t>
  </si>
  <si>
    <t>Omarion Hampton</t>
  </si>
  <si>
    <t>RB9</t>
  </si>
  <si>
    <t>$21-$30</t>
  </si>
  <si>
    <t>Kenneth Walker III</t>
  </si>
  <si>
    <t>RB10</t>
  </si>
  <si>
    <t>De'Von Achane</t>
  </si>
  <si>
    <t>RB11</t>
  </si>
  <si>
    <t>Brock Bowers</t>
  </si>
  <si>
    <t>TE1</t>
  </si>
  <si>
    <t>TE</t>
  </si>
  <si>
    <t>A.J. Brown</t>
  </si>
  <si>
    <t>WR7</t>
  </si>
  <si>
    <t>Derrick Henry</t>
  </si>
  <si>
    <t>RB12</t>
  </si>
  <si>
    <t>Drake London</t>
  </si>
  <si>
    <t>WR8</t>
  </si>
  <si>
    <t>Trey McBride</t>
  </si>
  <si>
    <t>TE2</t>
  </si>
  <si>
    <t>Nico Collins</t>
  </si>
  <si>
    <t>WR9</t>
  </si>
  <si>
    <t>George Pickens</t>
  </si>
  <si>
    <t>WR10</t>
  </si>
  <si>
    <t>Josh Allen</t>
  </si>
  <si>
    <t>QB1</t>
  </si>
  <si>
    <t>QB</t>
  </si>
  <si>
    <t>Malik Nabers</t>
  </si>
  <si>
    <t>WR11</t>
  </si>
  <si>
    <t>Rashee Rice</t>
  </si>
  <si>
    <t>WR12</t>
  </si>
  <si>
    <t>Chris Olave</t>
  </si>
  <si>
    <t>WR13</t>
  </si>
  <si>
    <t>Jeremiyah Love</t>
  </si>
  <si>
    <t>RB13</t>
  </si>
  <si>
    <t>DeVonta Smith</t>
  </si>
  <si>
    <t>WR14</t>
  </si>
  <si>
    <t>Zay Flowers</t>
  </si>
  <si>
    <t>WR15</t>
  </si>
  <si>
    <t>Kyren Williams</t>
  </si>
  <si>
    <t>RB14</t>
  </si>
  <si>
    <t>Emeka Egbuka</t>
  </si>
  <si>
    <t>WR16</t>
  </si>
  <si>
    <t>Breece Hall</t>
  </si>
  <si>
    <t>RB15</t>
  </si>
  <si>
    <t>Javonte Williams</t>
  </si>
  <si>
    <t>RB16</t>
  </si>
  <si>
    <t>Ladd McConkey</t>
  </si>
  <si>
    <t>WR17</t>
  </si>
  <si>
    <t>$11-$20</t>
  </si>
  <si>
    <t>Tee Higgins</t>
  </si>
  <si>
    <t>WR18</t>
  </si>
  <si>
    <t>Colston Loveland</t>
  </si>
  <si>
    <t>TE3</t>
  </si>
  <si>
    <t>Josh Jacobs</t>
  </si>
  <si>
    <t>RB17</t>
  </si>
  <si>
    <t>Garrett Wilson</t>
  </si>
  <si>
    <t>WR19</t>
  </si>
  <si>
    <t>Tetairoa McMillan</t>
  </si>
  <si>
    <t>WR20</t>
  </si>
  <si>
    <t>Cam Skattebo</t>
  </si>
  <si>
    <t>RB18</t>
  </si>
  <si>
    <t>Jaylen Waddle</t>
  </si>
  <si>
    <t>WR21</t>
  </si>
  <si>
    <t>Travis Etienne Jr.</t>
  </si>
  <si>
    <t>RB19</t>
  </si>
  <si>
    <t>DJ Moore</t>
  </si>
  <si>
    <t>WR22</t>
  </si>
  <si>
    <t>Luther Burden III</t>
  </si>
  <si>
    <t>WR23</t>
  </si>
  <si>
    <t>David Montgomery</t>
  </si>
  <si>
    <t>RB20</t>
  </si>
  <si>
    <t>Lamar Jackson</t>
  </si>
  <si>
    <t>QB2</t>
  </si>
  <si>
    <t>Terry McLaurin</t>
  </si>
  <si>
    <t>WR24</t>
  </si>
  <si>
    <t>D'Andre Swift</t>
  </si>
  <si>
    <t>RB21</t>
  </si>
  <si>
    <t>Quinshon Judkins</t>
  </si>
  <si>
    <t>RB22</t>
  </si>
  <si>
    <t>Bhayshul Tuten</t>
  </si>
  <si>
    <t>RB23</t>
  </si>
  <si>
    <t>Jameson Williams</t>
  </si>
  <si>
    <t>WR25</t>
  </si>
  <si>
    <t>Davante Adams</t>
  </si>
  <si>
    <t>WR26</t>
  </si>
  <si>
    <t>Tyler Warren</t>
  </si>
  <si>
    <t>TE4</t>
  </si>
  <si>
    <t>Bucky Irving</t>
  </si>
  <si>
    <t>RB24</t>
  </si>
  <si>
    <t>Mike Evans</t>
  </si>
  <si>
    <t>WR27</t>
  </si>
  <si>
    <t>Joe Burrow</t>
  </si>
  <si>
    <t>QB3</t>
  </si>
  <si>
    <t>$0-$10</t>
  </si>
  <si>
    <t>TreVeyon Henderson</t>
  </si>
  <si>
    <t>RB25</t>
  </si>
  <si>
    <t>Christian Watson</t>
  </si>
  <si>
    <t>WR28</t>
  </si>
  <si>
    <t>Drake Maye</t>
  </si>
  <si>
    <t>QB4</t>
  </si>
  <si>
    <t>Rome Odunze</t>
  </si>
  <si>
    <t>WR29</t>
  </si>
  <si>
    <t>Parker Washington</t>
  </si>
  <si>
    <t>WR30</t>
  </si>
  <si>
    <t>Jadarian Price</t>
  </si>
  <si>
    <t>RB26</t>
  </si>
  <si>
    <t>Jayden Daniels</t>
  </si>
  <si>
    <t>QB5</t>
  </si>
  <si>
    <t>Carnell Tate</t>
  </si>
  <si>
    <t>WR31</t>
  </si>
  <si>
    <t>Caleb Williams</t>
  </si>
  <si>
    <t>QB6</t>
  </si>
  <si>
    <t>Brian Thomas Jr.</t>
  </si>
  <si>
    <t>WR32</t>
  </si>
  <si>
    <t>Jaylen Warren</t>
  </si>
  <si>
    <t>RB27</t>
  </si>
  <si>
    <t>Marvin Harrison Jr.</t>
  </si>
  <si>
    <t>WR33</t>
  </si>
  <si>
    <t>Tucker Kraft</t>
  </si>
  <si>
    <t>TE5</t>
  </si>
  <si>
    <t>Jalen Hurts</t>
  </si>
  <si>
    <t>QB7</t>
  </si>
  <si>
    <t>Rhamondre Stevenson</t>
  </si>
  <si>
    <t>RB28</t>
  </si>
  <si>
    <t>Jordyn Tyson</t>
  </si>
  <si>
    <t>WR34</t>
  </si>
  <si>
    <t>Dak Prescott</t>
  </si>
  <si>
    <t>QB8</t>
  </si>
  <si>
    <t>Tony Pollard</t>
  </si>
  <si>
    <t>RB29</t>
  </si>
  <si>
    <t>DK Metcalf</t>
  </si>
  <si>
    <t>WR35</t>
  </si>
  <si>
    <t>Trevor Lawrence</t>
  </si>
  <si>
    <t>QB9</t>
  </si>
  <si>
    <t>Sam LaPorta</t>
  </si>
  <si>
    <t>TE6</t>
  </si>
  <si>
    <t>Jonathon Brooks</t>
  </si>
  <si>
    <t>RB30</t>
  </si>
  <si>
    <t>Justin Herbert</t>
  </si>
  <si>
    <t>QB10</t>
  </si>
  <si>
    <t>RJ Harvey</t>
  </si>
  <si>
    <t>RB31</t>
  </si>
  <si>
    <t>Kyle Pitts Sr.</t>
  </si>
  <si>
    <t>TE7</t>
  </si>
  <si>
    <t>Courtland Sutton</t>
  </si>
  <si>
    <t>WR36</t>
  </si>
  <si>
    <t>Quentin Johnston</t>
  </si>
  <si>
    <t>WR37</t>
  </si>
  <si>
    <t>Michael Wilson</t>
  </si>
  <si>
    <t>WR38</t>
  </si>
  <si>
    <t>Harold Fannin Jr.</t>
  </si>
  <si>
    <t>TE8</t>
  </si>
  <si>
    <t>Chris Godwin Jr.</t>
  </si>
  <si>
    <t>WR39</t>
  </si>
  <si>
    <t>Rico Dowdle</t>
  </si>
  <si>
    <t>RB32</t>
  </si>
  <si>
    <t>Josh Downs</t>
  </si>
  <si>
    <t>WR40</t>
  </si>
  <si>
    <t>Blake Corum</t>
  </si>
  <si>
    <t>RB33</t>
  </si>
  <si>
    <t>Jayden Reed</t>
  </si>
  <si>
    <t>WR41</t>
  </si>
  <si>
    <t>Wan'Dale Robinson</t>
  </si>
  <si>
    <t>WR42</t>
  </si>
  <si>
    <t>Chuba Hubbard</t>
  </si>
  <si>
    <t>RB34</t>
  </si>
  <si>
    <t>Alec Pierce</t>
  </si>
  <si>
    <t>WR43</t>
  </si>
  <si>
    <t>Kenny Gainwell</t>
  </si>
  <si>
    <t>RB35</t>
  </si>
  <si>
    <t>Michael Pittman Jr.</t>
  </si>
  <si>
    <t>WR44</t>
  </si>
  <si>
    <t>Matthew Stafford</t>
  </si>
  <si>
    <t>QB11</t>
  </si>
  <si>
    <t>Jaxson Dart</t>
  </si>
  <si>
    <t>QB12</t>
  </si>
  <si>
    <t>Patrick Mahomes II</t>
  </si>
  <si>
    <t>QB13</t>
  </si>
  <si>
    <t>J.K. Dobbins</t>
  </si>
  <si>
    <t>RB36</t>
  </si>
  <si>
    <t>Jordan Mason</t>
  </si>
  <si>
    <t>RB37</t>
  </si>
  <si>
    <t>Kyle Monangai</t>
  </si>
  <si>
    <t>RB38</t>
  </si>
  <si>
    <t>Jared Goff</t>
  </si>
  <si>
    <t>QB14</t>
  </si>
  <si>
    <t>Brock Purdy</t>
  </si>
  <si>
    <t>QB15</t>
  </si>
  <si>
    <t>Makai Lemon</t>
  </si>
  <si>
    <t>WR45</t>
  </si>
  <si>
    <t>Jordan Addison</t>
  </si>
  <si>
    <t>WR46</t>
  </si>
  <si>
    <t>Isaiah Likely</t>
  </si>
  <si>
    <t>TE9</t>
  </si>
  <si>
    <t>Bo Nix</t>
  </si>
  <si>
    <t>QB16</t>
  </si>
  <si>
    <t>Stefon Diggs</t>
  </si>
  <si>
    <t>WR47</t>
  </si>
  <si>
    <t>George Kittle</t>
  </si>
  <si>
    <t>TE10</t>
  </si>
  <si>
    <t>Rachaad White</t>
  </si>
  <si>
    <t>RB39</t>
  </si>
  <si>
    <t>Jacory Croskey-Merritt</t>
  </si>
  <si>
    <t>RB40</t>
  </si>
  <si>
    <t>Travis Kelce</t>
  </si>
  <si>
    <t>TE11</t>
  </si>
  <si>
    <t>Jakobi Meyers</t>
  </si>
  <si>
    <t>WR48</t>
  </si>
  <si>
    <t>Dalton Kincaid</t>
  </si>
  <si>
    <t>TE12</t>
  </si>
  <si>
    <t>Matthew Golden</t>
  </si>
  <si>
    <t>WR49</t>
  </si>
  <si>
    <t>Xavier Worthy</t>
  </si>
  <si>
    <t>WR50</t>
  </si>
  <si>
    <t>Kyler Murray</t>
  </si>
  <si>
    <t>QB17</t>
  </si>
  <si>
    <t>Baker Mayfield</t>
  </si>
  <si>
    <t>QB18</t>
  </si>
  <si>
    <t>Dallas Goedert</t>
  </si>
  <si>
    <t>TE13</t>
  </si>
  <si>
    <t>Jordan Love</t>
  </si>
  <si>
    <t>QB19</t>
  </si>
  <si>
    <t>Romeo Doubs</t>
  </si>
  <si>
    <t>WR51</t>
  </si>
  <si>
    <t>Jake Ferguson</t>
  </si>
  <si>
    <t>TE14</t>
  </si>
  <si>
    <t>Tyler Shough</t>
  </si>
  <si>
    <t>QB20</t>
  </si>
  <si>
    <t>Jayden Higgins</t>
  </si>
  <si>
    <t>WR52</t>
  </si>
  <si>
    <t>Mark Andrews</t>
  </si>
  <si>
    <t>TE15</t>
  </si>
  <si>
    <t>Deebo Samuel Sr.</t>
  </si>
  <si>
    <t>WR53</t>
  </si>
  <si>
    <t>KC Concepcion</t>
  </si>
  <si>
    <t>WR54</t>
  </si>
  <si>
    <t>Aaron Jones Sr.</t>
  </si>
  <si>
    <t>RB41</t>
  </si>
  <si>
    <t>Tyrone Tracy Jr.</t>
  </si>
  <si>
    <t>RB42</t>
  </si>
  <si>
    <t>Jalen Coker</t>
  </si>
  <si>
    <t>WR55</t>
  </si>
  <si>
    <t>Rashid Shaheed</t>
  </si>
  <si>
    <t>WR56</t>
  </si>
  <si>
    <t>Khalil Shakir</t>
  </si>
  <si>
    <t>WR57</t>
  </si>
  <si>
    <t>Chris Rodriguez Jr.</t>
  </si>
  <si>
    <t>RB43</t>
  </si>
  <si>
    <t>Keaton Mitchell</t>
  </si>
  <si>
    <t>RB44</t>
  </si>
  <si>
    <t>Malik Willis</t>
  </si>
  <si>
    <t>QB21</t>
  </si>
  <si>
    <t>Woody Marks</t>
  </si>
  <si>
    <t>RB45</t>
  </si>
  <si>
    <t>De'Zhaun Stribling</t>
  </si>
  <si>
    <t>WR58</t>
  </si>
  <si>
    <t>Chig Okonkwo</t>
  </si>
  <si>
    <t>TE16</t>
  </si>
  <si>
    <t>Juwan Johnson</t>
  </si>
  <si>
    <t>TE17</t>
  </si>
  <si>
    <t>Sam Darnold</t>
  </si>
  <si>
    <t>QB22</t>
  </si>
  <si>
    <t>Tyler Allgeier</t>
  </si>
  <si>
    <t>RB46</t>
  </si>
  <si>
    <t>Brenton Strange</t>
  </si>
  <si>
    <t>TE18</t>
  </si>
  <si>
    <t>Zach Charbonnet</t>
  </si>
  <si>
    <t>RB47</t>
  </si>
  <si>
    <t>Denzel Boston</t>
  </si>
  <si>
    <t>WR59</t>
  </si>
  <si>
    <t>Cam Ward</t>
  </si>
  <si>
    <t>QB23</t>
  </si>
  <si>
    <t>C.J. Stroud</t>
  </si>
  <si>
    <t>QB24</t>
  </si>
  <si>
    <t>Jalen Nailor</t>
  </si>
  <si>
    <t>WR60</t>
  </si>
  <si>
    <t>Daniel Jones</t>
  </si>
  <si>
    <t>QB25</t>
  </si>
  <si>
    <t>Alvin Kamara</t>
  </si>
  <si>
    <t>RB48</t>
  </si>
  <si>
    <t>Tyjae Spears</t>
  </si>
  <si>
    <t>RB49</t>
  </si>
  <si>
    <t>Jonah Coleman</t>
  </si>
  <si>
    <t>RB50</t>
  </si>
  <si>
    <t>No Auction Value</t>
  </si>
  <si>
    <t>Hunter Henry</t>
  </si>
  <si>
    <t>TE19</t>
  </si>
  <si>
    <t>Tank Bigsby</t>
  </si>
  <si>
    <t>RB51</t>
  </si>
  <si>
    <t>Jalen McMillan</t>
  </si>
  <si>
    <t>WR61</t>
  </si>
  <si>
    <t>Isiah Pacheco</t>
  </si>
  <si>
    <t>RB52</t>
  </si>
  <si>
    <t>Oronde Gadsden II</t>
  </si>
  <si>
    <t>TE20</t>
  </si>
  <si>
    <t>Tre Tucker</t>
  </si>
  <si>
    <t>WR62</t>
  </si>
  <si>
    <t>Bryce Young</t>
  </si>
  <si>
    <t>QB26</t>
  </si>
  <si>
    <t>Dylan Sampson</t>
  </si>
  <si>
    <t>RB53</t>
  </si>
  <si>
    <t>Omar Cooper Jr.</t>
  </si>
  <si>
    <t>WR63</t>
  </si>
  <si>
    <t>MarShawn Lloyd</t>
  </si>
  <si>
    <t>RB54</t>
  </si>
  <si>
    <t>Jauan Jennings</t>
  </si>
  <si>
    <t>WR64</t>
  </si>
  <si>
    <t>Tre' Harris</t>
  </si>
  <si>
    <t>WR65</t>
  </si>
  <si>
    <t>T.J. Hockenson</t>
  </si>
  <si>
    <t>TE21</t>
  </si>
  <si>
    <t>Malik Washington</t>
  </si>
  <si>
    <t>WR66</t>
  </si>
  <si>
    <t>Travis Hunter</t>
  </si>
  <si>
    <t>WR67</t>
  </si>
  <si>
    <t>Jaydon Blue</t>
  </si>
  <si>
    <t>RB55</t>
  </si>
  <si>
    <t>Dalton Schultz</t>
  </si>
  <si>
    <t>TE22</t>
  </si>
  <si>
    <t>Brian Robinson Jr.</t>
  </si>
  <si>
    <t>RB56</t>
  </si>
  <si>
    <t>Kenyon Sadiq</t>
  </si>
  <si>
    <t>TE23</t>
  </si>
  <si>
    <t>Adonai Mitchell</t>
  </si>
  <si>
    <t>WR68</t>
  </si>
  <si>
    <t>Greg Dulcich</t>
  </si>
  <si>
    <t>TE24</t>
  </si>
  <si>
    <t>Aaron Rodgers</t>
  </si>
  <si>
    <t>QB27</t>
  </si>
  <si>
    <t>Dontayvion Wicks</t>
  </si>
  <si>
    <t>WR69</t>
  </si>
  <si>
    <t>Jacoby Brissett</t>
  </si>
  <si>
    <t>QB28</t>
  </si>
  <si>
    <t>Ryan Flournoy</t>
  </si>
  <si>
    <t>WR70</t>
  </si>
  <si>
    <t>Terrance Ferguson</t>
  </si>
  <si>
    <t>TE25</t>
  </si>
  <si>
    <t>Jerry Jeudy</t>
  </si>
  <si>
    <t>WR71</t>
  </si>
  <si>
    <t>Isaac TeSlaa</t>
  </si>
  <si>
    <t>WR72</t>
  </si>
  <si>
    <t>Mike Washington Jr.</t>
  </si>
  <si>
    <t>RB57</t>
  </si>
  <si>
    <t>Fernando Mendoza</t>
  </si>
  <si>
    <t>QB29</t>
  </si>
  <si>
    <t>Tank Dell</t>
  </si>
  <si>
    <t>WR73</t>
  </si>
  <si>
    <t>Ray Davis</t>
  </si>
  <si>
    <t>RB58</t>
  </si>
  <si>
    <t>Geno Smith</t>
  </si>
  <si>
    <t>QB30</t>
  </si>
  <si>
    <t>AJ Barner</t>
  </si>
  <si>
    <t>TE26</t>
  </si>
  <si>
    <t>Kayshon Boutte</t>
  </si>
  <si>
    <t>WR74</t>
  </si>
  <si>
    <t>Zachariah Branch</t>
  </si>
  <si>
    <t>WR75</t>
  </si>
  <si>
    <t>Gunnar Helm</t>
  </si>
  <si>
    <t>TE27</t>
  </si>
  <si>
    <t>Calvin Ridley</t>
  </si>
  <si>
    <t>WR76</t>
  </si>
  <si>
    <t>Ja'Kobi Lane</t>
  </si>
  <si>
    <t>WR77</t>
  </si>
  <si>
    <t>Kimani Vidal</t>
  </si>
  <si>
    <t>RB59</t>
  </si>
  <si>
    <t>Cade Otton</t>
  </si>
  <si>
    <t>TE28</t>
  </si>
  <si>
    <t>Sean Tucker</t>
  </si>
  <si>
    <t>RB60</t>
  </si>
  <si>
    <t>Nicholas Singleton</t>
  </si>
  <si>
    <t>RB61</t>
  </si>
  <si>
    <t>Cyrus Allen</t>
  </si>
  <si>
    <t>WR78</t>
  </si>
  <si>
    <t>Pat Freiermuth</t>
  </si>
  <si>
    <t>TE29</t>
  </si>
  <si>
    <t>Emmett Johnson</t>
  </si>
  <si>
    <t>RB62</t>
  </si>
  <si>
    <t>Antonio Williams</t>
  </si>
  <si>
    <t>WR79</t>
  </si>
  <si>
    <t>Tua Tagovailoa</t>
  </si>
  <si>
    <t>QB31</t>
  </si>
  <si>
    <t>Braelon Allen</t>
  </si>
  <si>
    <t>RB63</t>
  </si>
  <si>
    <t>Pat Bryant</t>
  </si>
  <si>
    <t>WR80</t>
  </si>
  <si>
    <t>Kaytron Allen</t>
  </si>
  <si>
    <t>RB64</t>
  </si>
  <si>
    <t>George Holani</t>
  </si>
  <si>
    <t>RB65</t>
  </si>
  <si>
    <t>David Njoku</t>
  </si>
  <si>
    <t>TE30</t>
  </si>
  <si>
    <t>Justice Hill</t>
  </si>
  <si>
    <t>RB66</t>
  </si>
  <si>
    <t>Malachi Fields</t>
  </si>
  <si>
    <t>WR81</t>
  </si>
  <si>
    <t>Kaelon Black</t>
  </si>
  <si>
    <t>RB67</t>
  </si>
  <si>
    <t>Colby Parkinson</t>
  </si>
  <si>
    <t>TE31</t>
  </si>
  <si>
    <t>Cooper Kupp</t>
  </si>
  <si>
    <t>WR82</t>
  </si>
  <si>
    <t>Rashod Bateman</t>
  </si>
  <si>
    <t>WR83</t>
  </si>
  <si>
    <t>Demond Claiborne</t>
  </si>
  <si>
    <t>RB68</t>
  </si>
  <si>
    <t>Darnell Mooney</t>
  </si>
  <si>
    <t>WR84</t>
  </si>
  <si>
    <t>Ted Hurst III</t>
  </si>
  <si>
    <t>WR85</t>
  </si>
  <si>
    <t>James Conner</t>
  </si>
  <si>
    <t>RB69</t>
  </si>
  <si>
    <t>Kirk Cousins</t>
  </si>
  <si>
    <t>QB32</t>
  </si>
  <si>
    <t>Shedeur Sanders</t>
  </si>
  <si>
    <t>QB33</t>
  </si>
  <si>
    <t>Jordan James</t>
  </si>
  <si>
    <t>RB70</t>
  </si>
  <si>
    <t>Jake Tonges</t>
  </si>
  <si>
    <t>TE32</t>
  </si>
  <si>
    <t>Evan Engram</t>
  </si>
  <si>
    <t>TE33</t>
  </si>
  <si>
    <t>Jaylen Wright</t>
  </si>
  <si>
    <t>RB71</t>
  </si>
  <si>
    <t>Value Rank</t>
  </si>
  <si>
    <t>Verdict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</si>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</sst>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ctionValueTable" displayName="AuctionValueTable" ref="A1:J223" totalsRowShown="0">
  <tableColumns count="10">
    <tableColumn id="1" xr3:uid="{00000000-0010-0000-0000-000001000000}" name="Overall Rank"/>
    <tableColumn id="2" xr3:uid="{00000000-0010-0000-0000-000002000000}" name="Player"/>
    <tableColumn id="3" xr3:uid="{00000000-0010-0000-0000-000003000000}" name="POS Rank"/>
    <tableColumn id="4" xr3:uid="{00000000-0010-0000-0000-000004000000}" name="Position"/>
    <tableColumn id="5" xr3:uid="{00000000-0010-0000-0000-000005000000}" name="Auction $"/>
    <tableColumn id="6" xr3:uid="{00000000-0010-0000-0000-000006000000}" name="Auction Rank"/>
    <tableColumn id="10" xr3:uid="{DD2C9BBD-FEB8-4E51-8E89-5CBD7A227859}" name="Regression Price" dataDxfId="0">
      <calculatedColumnFormula>42.71-(0.42*AuctionValueTable[[#This Row],[Overall Rank]])</calculatedColumnFormula>
    </tableColumn>
    <tableColumn id="7" xr3:uid="{00000000-0010-0000-0000-000007000000}" name="Rank Value"/>
    <tableColumn id="8" xr3:uid="{00000000-0010-0000-0000-000008000000}" name="Value Label"/>
    <tableColumn id="9" xr3:uid="{00000000-0010-0000-0000-000009000000}" name="Price 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stValuesTable" displayName="BestValuesTable" ref="A1:H210" totalsRowShown="0">
  <tableColumns count="8">
    <tableColumn id="1" xr3:uid="{00000000-0010-0000-0100-000001000000}" name="Value Rank"/>
    <tableColumn id="2" xr3:uid="{00000000-0010-0000-0100-000002000000}" name="Player"/>
    <tableColumn id="3" xr3:uid="{00000000-0010-0000-0100-000003000000}" name="POS Rank"/>
    <tableColumn id="4" xr3:uid="{00000000-0010-0000-0100-000004000000}" name="Overall Rank"/>
    <tableColumn id="5" xr3:uid="{00000000-0010-0000-0100-000005000000}" name="Auction $"/>
    <tableColumn id="6" xr3:uid="{00000000-0010-0000-0100-000006000000}" name="Auction Rank"/>
    <tableColumn id="7" xr3:uid="{00000000-0010-0000-0100-000007000000}" name="Rank Value"/>
    <tableColumn id="8" xr3:uid="{00000000-0010-0000-0100-000008000000}" name="Verdi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"/>
  <sheetViews>
    <sheetView tabSelected="1" topLeftCell="A38" workbookViewId="0">
      <selection activeCell="E49" sqref="E49"/>
    </sheetView>
  </sheetViews>
  <sheetFormatPr defaultRowHeight="14.25"/>
  <cols>
    <col min="1" max="1" width="12" customWidth="1"/>
    <col min="2" max="2" width="24" customWidth="1"/>
    <col min="3" max="4" width="11" customWidth="1"/>
    <col min="5" max="8" width="12" customWidth="1"/>
    <col min="9" max="9" width="18" customWidth="1"/>
    <col min="10" max="10" width="12" customWidth="1"/>
    <col min="12" max="14" width="20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501</v>
      </c>
      <c r="H1" s="1" t="s">
        <v>6</v>
      </c>
      <c r="I1" s="1" t="s">
        <v>7</v>
      </c>
      <c r="J1" s="1" t="s">
        <v>8</v>
      </c>
      <c r="L1" s="3" t="s">
        <v>9</v>
      </c>
      <c r="M1" s="3"/>
      <c r="N1" s="3"/>
    </row>
    <row r="2" spans="1:14">
      <c r="A2">
        <v>1</v>
      </c>
      <c r="B2" t="s">
        <v>10</v>
      </c>
      <c r="C2" t="s">
        <v>11</v>
      </c>
      <c r="D2" t="s">
        <v>12</v>
      </c>
      <c r="E2" s="2">
        <v>62</v>
      </c>
      <c r="F2">
        <v>1</v>
      </c>
      <c r="G2">
        <f>42.71-(0.42*AuctionValueTable[[#This Row],[Overall Rank]])</f>
        <v>42.29</v>
      </c>
      <c r="H2" s="2">
        <f>AuctionValueTable[[#This Row],[Auction $]]-G2</f>
        <v>19.71</v>
      </c>
      <c r="I2" t="s">
        <v>13</v>
      </c>
      <c r="J2" t="s">
        <v>14</v>
      </c>
      <c r="L2" t="s">
        <v>6</v>
      </c>
      <c r="M2" t="s">
        <v>15</v>
      </c>
    </row>
    <row r="3" spans="1:14">
      <c r="A3">
        <v>2</v>
      </c>
      <c r="B3" t="s">
        <v>16</v>
      </c>
      <c r="C3" t="s">
        <v>17</v>
      </c>
      <c r="D3" t="s">
        <v>12</v>
      </c>
      <c r="E3" s="2">
        <v>59</v>
      </c>
      <c r="F3">
        <v>2</v>
      </c>
      <c r="G3">
        <f>42.71-(0.42*AuctionValueTable[[#This Row],[Overall Rank]])</f>
        <v>41.87</v>
      </c>
      <c r="H3" s="2">
        <f>AuctionValueTable[[#This Row],[Auction $]]-G3</f>
        <v>17.130000000000003</v>
      </c>
      <c r="I3" t="s">
        <v>13</v>
      </c>
      <c r="J3" t="s">
        <v>14</v>
      </c>
      <c r="L3" t="s">
        <v>18</v>
      </c>
      <c r="M3" t="s">
        <v>19</v>
      </c>
    </row>
    <row r="4" spans="1:14">
      <c r="A4">
        <v>3</v>
      </c>
      <c r="B4" t="s">
        <v>20</v>
      </c>
      <c r="C4" t="s">
        <v>21</v>
      </c>
      <c r="D4" t="s">
        <v>22</v>
      </c>
      <c r="E4" s="2">
        <v>51</v>
      </c>
      <c r="F4">
        <v>4</v>
      </c>
      <c r="G4">
        <f>42.71-(0.42*AuctionValueTable[[#This Row],[Overall Rank]])</f>
        <v>41.45</v>
      </c>
      <c r="H4" s="2">
        <f>AuctionValueTable[[#This Row],[Auction $]]-G4</f>
        <v>9.5499999999999972</v>
      </c>
      <c r="I4" t="s">
        <v>13</v>
      </c>
      <c r="J4" t="s">
        <v>14</v>
      </c>
      <c r="L4" t="s">
        <v>23</v>
      </c>
      <c r="M4" t="s">
        <v>24</v>
      </c>
    </row>
    <row r="5" spans="1:14">
      <c r="A5">
        <v>4</v>
      </c>
      <c r="B5" t="s">
        <v>25</v>
      </c>
      <c r="C5" t="s">
        <v>26</v>
      </c>
      <c r="D5" t="s">
        <v>22</v>
      </c>
      <c r="E5" s="2">
        <v>55</v>
      </c>
      <c r="F5">
        <v>3</v>
      </c>
      <c r="G5">
        <f>42.71-(0.42*AuctionValueTable[[#This Row],[Overall Rank]])</f>
        <v>41.03</v>
      </c>
      <c r="H5" s="2">
        <f>AuctionValueTable[[#This Row],[Auction $]]-G5</f>
        <v>13.969999999999999</v>
      </c>
      <c r="I5" t="s">
        <v>13</v>
      </c>
      <c r="J5" t="s">
        <v>14</v>
      </c>
      <c r="L5" t="s">
        <v>27</v>
      </c>
      <c r="M5" t="s">
        <v>13</v>
      </c>
    </row>
    <row r="6" spans="1:14">
      <c r="A6">
        <v>5</v>
      </c>
      <c r="B6" t="s">
        <v>28</v>
      </c>
      <c r="C6" t="s">
        <v>29</v>
      </c>
      <c r="D6" t="s">
        <v>22</v>
      </c>
      <c r="E6" s="2">
        <v>50</v>
      </c>
      <c r="F6">
        <v>5</v>
      </c>
      <c r="G6">
        <f>42.71-(0.42*AuctionValueTable[[#This Row],[Overall Rank]])</f>
        <v>40.61</v>
      </c>
      <c r="H6" s="2">
        <f>AuctionValueTable[[#This Row],[Auction $]]-G6</f>
        <v>9.39</v>
      </c>
      <c r="I6" t="s">
        <v>13</v>
      </c>
      <c r="J6" t="s">
        <v>14</v>
      </c>
      <c r="L6" t="s">
        <v>30</v>
      </c>
      <c r="M6" t="s">
        <v>31</v>
      </c>
    </row>
    <row r="7" spans="1:14">
      <c r="A7">
        <v>6</v>
      </c>
      <c r="B7" t="s">
        <v>32</v>
      </c>
      <c r="C7" t="s">
        <v>33</v>
      </c>
      <c r="D7" t="s">
        <v>12</v>
      </c>
      <c r="E7" s="2">
        <v>47</v>
      </c>
      <c r="F7">
        <v>7</v>
      </c>
      <c r="G7">
        <f>42.71-(0.42*AuctionValueTable[[#This Row],[Overall Rank]])</f>
        <v>40.19</v>
      </c>
      <c r="H7" s="2">
        <f>AuctionValueTable[[#This Row],[Auction $]]-G7</f>
        <v>6.8100000000000023</v>
      </c>
      <c r="I7" t="s">
        <v>13</v>
      </c>
      <c r="J7" t="s">
        <v>14</v>
      </c>
      <c r="L7" t="s">
        <v>34</v>
      </c>
      <c r="M7" t="s">
        <v>35</v>
      </c>
    </row>
    <row r="8" spans="1:14">
      <c r="A8">
        <v>7</v>
      </c>
      <c r="B8" t="s">
        <v>36</v>
      </c>
      <c r="C8" t="s">
        <v>37</v>
      </c>
      <c r="D8" t="s">
        <v>22</v>
      </c>
      <c r="E8" s="2">
        <v>45</v>
      </c>
      <c r="F8">
        <v>9</v>
      </c>
      <c r="G8">
        <f>42.71-(0.42*AuctionValueTable[[#This Row],[Overall Rank]])</f>
        <v>39.770000000000003</v>
      </c>
      <c r="H8" s="2">
        <f>AuctionValueTable[[#This Row],[Auction $]]-G8</f>
        <v>5.2299999999999969</v>
      </c>
      <c r="I8" t="s">
        <v>13</v>
      </c>
      <c r="J8" t="s">
        <v>14</v>
      </c>
    </row>
    <row r="9" spans="1:14">
      <c r="A9">
        <v>8</v>
      </c>
      <c r="B9" t="s">
        <v>38</v>
      </c>
      <c r="C9" t="s">
        <v>39</v>
      </c>
      <c r="D9" t="s">
        <v>12</v>
      </c>
      <c r="E9" s="2">
        <v>50</v>
      </c>
      <c r="F9">
        <v>5</v>
      </c>
      <c r="G9">
        <f>42.71-(0.42*AuctionValueTable[[#This Row],[Overall Rank]])</f>
        <v>39.35</v>
      </c>
      <c r="H9" s="2">
        <f>AuctionValueTable[[#This Row],[Auction $]]-G9</f>
        <v>10.649999999999999</v>
      </c>
      <c r="I9" t="s">
        <v>13</v>
      </c>
      <c r="J9" t="s">
        <v>14</v>
      </c>
    </row>
    <row r="10" spans="1:14">
      <c r="A10">
        <v>9</v>
      </c>
      <c r="B10" t="s">
        <v>40</v>
      </c>
      <c r="C10" t="s">
        <v>41</v>
      </c>
      <c r="D10" t="s">
        <v>12</v>
      </c>
      <c r="E10" s="2">
        <v>40</v>
      </c>
      <c r="F10">
        <v>10</v>
      </c>
      <c r="G10">
        <f>42.71-(0.42*AuctionValueTable[[#This Row],[Overall Rank]])</f>
        <v>38.93</v>
      </c>
      <c r="H10" s="2">
        <f>AuctionValueTable[[#This Row],[Auction $]]-G10</f>
        <v>1.0700000000000003</v>
      </c>
      <c r="I10" t="s">
        <v>13</v>
      </c>
      <c r="J10" t="s">
        <v>42</v>
      </c>
    </row>
    <row r="11" spans="1:14">
      <c r="A11">
        <v>10</v>
      </c>
      <c r="B11" t="s">
        <v>43</v>
      </c>
      <c r="C11" t="s">
        <v>44</v>
      </c>
      <c r="D11" t="s">
        <v>12</v>
      </c>
      <c r="E11" s="2">
        <v>34</v>
      </c>
      <c r="F11">
        <v>14</v>
      </c>
      <c r="G11">
        <f>42.71-(0.42*AuctionValueTable[[#This Row],[Overall Rank]])</f>
        <v>38.51</v>
      </c>
      <c r="H11" s="2">
        <f>AuctionValueTable[[#This Row],[Auction $]]-G11</f>
        <v>-4.509999999999998</v>
      </c>
      <c r="I11" t="s">
        <v>13</v>
      </c>
      <c r="J11" t="s">
        <v>42</v>
      </c>
    </row>
    <row r="12" spans="1:14">
      <c r="A12">
        <v>11</v>
      </c>
      <c r="B12" t="s">
        <v>45</v>
      </c>
      <c r="C12" t="s">
        <v>46</v>
      </c>
      <c r="D12" t="s">
        <v>22</v>
      </c>
      <c r="E12" s="2">
        <v>33</v>
      </c>
      <c r="F12">
        <v>15</v>
      </c>
      <c r="G12">
        <f>42.71-(0.42*AuctionValueTable[[#This Row],[Overall Rank]])</f>
        <v>38.090000000000003</v>
      </c>
      <c r="H12" s="2">
        <f>AuctionValueTable[[#This Row],[Auction $]]-G12</f>
        <v>-5.0900000000000034</v>
      </c>
      <c r="I12" t="s">
        <v>13</v>
      </c>
      <c r="J12" t="s">
        <v>42</v>
      </c>
    </row>
    <row r="13" spans="1:14">
      <c r="A13">
        <v>12</v>
      </c>
      <c r="B13" t="s">
        <v>47</v>
      </c>
      <c r="C13" t="s">
        <v>48</v>
      </c>
      <c r="D13" t="s">
        <v>22</v>
      </c>
      <c r="E13" s="2">
        <v>32</v>
      </c>
      <c r="F13">
        <v>18</v>
      </c>
      <c r="G13">
        <f>42.71-(0.42*AuctionValueTable[[#This Row],[Overall Rank]])</f>
        <v>37.67</v>
      </c>
      <c r="H13" s="2">
        <f>AuctionValueTable[[#This Row],[Auction $]]-G13</f>
        <v>-5.6700000000000017</v>
      </c>
      <c r="I13" t="s">
        <v>24</v>
      </c>
      <c r="J13" t="s">
        <v>42</v>
      </c>
    </row>
    <row r="14" spans="1:14">
      <c r="A14">
        <v>13</v>
      </c>
      <c r="B14" t="s">
        <v>49</v>
      </c>
      <c r="C14" t="s">
        <v>50</v>
      </c>
      <c r="D14" t="s">
        <v>12</v>
      </c>
      <c r="E14" s="2">
        <v>35</v>
      </c>
      <c r="F14">
        <v>13</v>
      </c>
      <c r="G14">
        <f>42.71-(0.42*AuctionValueTable[[#This Row],[Overall Rank]])</f>
        <v>37.25</v>
      </c>
      <c r="H14" s="2">
        <f>AuctionValueTable[[#This Row],[Auction $]]-G14</f>
        <v>-2.25</v>
      </c>
      <c r="I14" t="s">
        <v>13</v>
      </c>
      <c r="J14" t="s">
        <v>42</v>
      </c>
    </row>
    <row r="15" spans="1:14">
      <c r="A15">
        <v>14</v>
      </c>
      <c r="B15" t="s">
        <v>51</v>
      </c>
      <c r="C15" t="s">
        <v>52</v>
      </c>
      <c r="D15" t="s">
        <v>12</v>
      </c>
      <c r="E15" s="2">
        <v>33</v>
      </c>
      <c r="F15">
        <v>15</v>
      </c>
      <c r="G15">
        <f>42.71-(0.42*AuctionValueTable[[#This Row],[Overall Rank]])</f>
        <v>36.83</v>
      </c>
      <c r="H15" s="2">
        <f>AuctionValueTable[[#This Row],[Auction $]]-G15</f>
        <v>-3.8299999999999983</v>
      </c>
      <c r="I15" t="s">
        <v>13</v>
      </c>
      <c r="J15" t="s">
        <v>42</v>
      </c>
    </row>
    <row r="16" spans="1:14">
      <c r="A16">
        <v>15</v>
      </c>
      <c r="B16" t="s">
        <v>53</v>
      </c>
      <c r="C16" t="s">
        <v>54</v>
      </c>
      <c r="D16" t="s">
        <v>12</v>
      </c>
      <c r="E16" s="2">
        <v>29</v>
      </c>
      <c r="F16">
        <v>27</v>
      </c>
      <c r="G16">
        <f>42.71-(0.42*AuctionValueTable[[#This Row],[Overall Rank]])</f>
        <v>36.410000000000004</v>
      </c>
      <c r="H16" s="2">
        <f>AuctionValueTable[[#This Row],[Auction $]]-G16</f>
        <v>-7.4100000000000037</v>
      </c>
      <c r="I16" t="s">
        <v>24</v>
      </c>
      <c r="J16" t="s">
        <v>55</v>
      </c>
      <c r="L16" t="s">
        <v>477</v>
      </c>
    </row>
    <row r="17" spans="1:21" ht="15" thickBot="1">
      <c r="A17">
        <v>16</v>
      </c>
      <c r="B17" t="s">
        <v>56</v>
      </c>
      <c r="C17" t="s">
        <v>57</v>
      </c>
      <c r="D17" t="s">
        <v>12</v>
      </c>
      <c r="E17" s="2">
        <v>32</v>
      </c>
      <c r="F17">
        <v>18</v>
      </c>
      <c r="G17">
        <f>42.71-(0.42*AuctionValueTable[[#This Row],[Overall Rank]])</f>
        <v>35.99</v>
      </c>
      <c r="H17" s="2">
        <f>AuctionValueTable[[#This Row],[Auction $]]-G17</f>
        <v>-3.990000000000002</v>
      </c>
      <c r="I17" t="s">
        <v>13</v>
      </c>
      <c r="J17" t="s">
        <v>42</v>
      </c>
    </row>
    <row r="18" spans="1:21">
      <c r="A18">
        <v>17</v>
      </c>
      <c r="B18" t="s">
        <v>58</v>
      </c>
      <c r="C18" t="s">
        <v>59</v>
      </c>
      <c r="D18" t="s">
        <v>12</v>
      </c>
      <c r="E18" s="2">
        <v>37</v>
      </c>
      <c r="F18">
        <v>12</v>
      </c>
      <c r="G18">
        <f>42.71-(0.42*AuctionValueTable[[#This Row],[Overall Rank]])</f>
        <v>35.57</v>
      </c>
      <c r="H18" s="2">
        <f>AuctionValueTable[[#This Row],[Auction $]]-G18</f>
        <v>1.4299999999999997</v>
      </c>
      <c r="I18" t="s">
        <v>31</v>
      </c>
      <c r="J18" t="s">
        <v>42</v>
      </c>
      <c r="L18" s="7" t="s">
        <v>478</v>
      </c>
      <c r="M18" s="7"/>
    </row>
    <row r="19" spans="1:21">
      <c r="A19">
        <v>18</v>
      </c>
      <c r="B19" t="s">
        <v>60</v>
      </c>
      <c r="C19" t="s">
        <v>61</v>
      </c>
      <c r="D19" t="s">
        <v>62</v>
      </c>
      <c r="E19" s="2">
        <v>31</v>
      </c>
      <c r="F19">
        <v>22</v>
      </c>
      <c r="G19">
        <f>42.71-(0.42*AuctionValueTable[[#This Row],[Overall Rank]])</f>
        <v>35.15</v>
      </c>
      <c r="H19" s="2">
        <f>AuctionValueTable[[#This Row],[Auction $]]-G19</f>
        <v>-4.1499999999999986</v>
      </c>
      <c r="I19" t="s">
        <v>13</v>
      </c>
      <c r="J19" t="s">
        <v>42</v>
      </c>
      <c r="L19" s="4" t="s">
        <v>479</v>
      </c>
      <c r="M19" s="4">
        <v>0.89722066325914007</v>
      </c>
    </row>
    <row r="20" spans="1:21">
      <c r="A20">
        <v>19</v>
      </c>
      <c r="B20" t="s">
        <v>63</v>
      </c>
      <c r="C20" t="s">
        <v>64</v>
      </c>
      <c r="D20" t="s">
        <v>22</v>
      </c>
      <c r="E20" s="2">
        <v>29</v>
      </c>
      <c r="F20">
        <v>27</v>
      </c>
      <c r="G20">
        <f>42.71-(0.42*AuctionValueTable[[#This Row],[Overall Rank]])</f>
        <v>34.730000000000004</v>
      </c>
      <c r="H20" s="2">
        <f>AuctionValueTable[[#This Row],[Auction $]]-G20</f>
        <v>-5.730000000000004</v>
      </c>
      <c r="I20" t="s">
        <v>24</v>
      </c>
      <c r="J20" t="s">
        <v>55</v>
      </c>
      <c r="L20" s="4" t="s">
        <v>480</v>
      </c>
      <c r="M20" s="4">
        <v>0.80500491857917122</v>
      </c>
    </row>
    <row r="21" spans="1:21">
      <c r="A21">
        <v>20</v>
      </c>
      <c r="B21" t="s">
        <v>65</v>
      </c>
      <c r="C21" t="s">
        <v>66</v>
      </c>
      <c r="D21" t="s">
        <v>12</v>
      </c>
      <c r="E21" s="2">
        <v>46</v>
      </c>
      <c r="F21">
        <v>8</v>
      </c>
      <c r="G21">
        <f>42.71-(0.42*AuctionValueTable[[#This Row],[Overall Rank]])</f>
        <v>34.31</v>
      </c>
      <c r="H21" s="2">
        <f>AuctionValueTable[[#This Row],[Auction $]]-G21</f>
        <v>11.689999999999998</v>
      </c>
      <c r="I21" t="s">
        <v>31</v>
      </c>
      <c r="J21" t="s">
        <v>14</v>
      </c>
      <c r="L21" s="4" t="s">
        <v>481</v>
      </c>
      <c r="M21" s="4">
        <v>0.80299466000782249</v>
      </c>
    </row>
    <row r="22" spans="1:21">
      <c r="A22">
        <v>21</v>
      </c>
      <c r="B22" t="s">
        <v>67</v>
      </c>
      <c r="C22" t="s">
        <v>68</v>
      </c>
      <c r="D22" t="s">
        <v>22</v>
      </c>
      <c r="E22" s="2">
        <v>39</v>
      </c>
      <c r="F22">
        <v>11</v>
      </c>
      <c r="G22">
        <f>42.71-(0.42*AuctionValueTable[[#This Row],[Overall Rank]])</f>
        <v>33.89</v>
      </c>
      <c r="H22" s="2">
        <f>AuctionValueTable[[#This Row],[Auction $]]-G22</f>
        <v>5.1099999999999994</v>
      </c>
      <c r="I22" t="s">
        <v>31</v>
      </c>
      <c r="J22" t="s">
        <v>42</v>
      </c>
      <c r="L22" s="4" t="s">
        <v>482</v>
      </c>
      <c r="M22" s="4">
        <v>6.049721733396817</v>
      </c>
    </row>
    <row r="23" spans="1:21" ht="15" thickBot="1">
      <c r="A23">
        <v>22</v>
      </c>
      <c r="B23" t="s">
        <v>69</v>
      </c>
      <c r="C23" t="s">
        <v>70</v>
      </c>
      <c r="D23" t="s">
        <v>62</v>
      </c>
      <c r="E23" s="2">
        <v>30</v>
      </c>
      <c r="F23">
        <v>23</v>
      </c>
      <c r="G23">
        <f>42.71-(0.42*AuctionValueTable[[#This Row],[Overall Rank]])</f>
        <v>33.47</v>
      </c>
      <c r="H23" s="2">
        <f>AuctionValueTable[[#This Row],[Auction $]]-G23</f>
        <v>-3.4699999999999989</v>
      </c>
      <c r="I23" t="s">
        <v>13</v>
      </c>
      <c r="J23" t="s">
        <v>55</v>
      </c>
      <c r="L23" s="5" t="s">
        <v>483</v>
      </c>
      <c r="M23" s="5">
        <v>99</v>
      </c>
    </row>
    <row r="24" spans="1:21">
      <c r="A24">
        <v>23</v>
      </c>
      <c r="B24" t="s">
        <v>71</v>
      </c>
      <c r="C24" t="s">
        <v>72</v>
      </c>
      <c r="D24" t="s">
        <v>22</v>
      </c>
      <c r="E24" s="2">
        <v>29</v>
      </c>
      <c r="F24">
        <v>27</v>
      </c>
      <c r="G24">
        <f>42.71-(0.42*AuctionValueTable[[#This Row],[Overall Rank]])</f>
        <v>33.049999999999997</v>
      </c>
      <c r="H24" s="2">
        <f>AuctionValueTable[[#This Row],[Auction $]]-G24</f>
        <v>-4.0499999999999972</v>
      </c>
      <c r="I24" t="s">
        <v>13</v>
      </c>
      <c r="J24" t="s">
        <v>55</v>
      </c>
    </row>
    <row r="25" spans="1:21" ht="15" thickBot="1">
      <c r="A25">
        <v>24</v>
      </c>
      <c r="B25" t="s">
        <v>73</v>
      </c>
      <c r="C25" t="s">
        <v>74</v>
      </c>
      <c r="D25" t="s">
        <v>22</v>
      </c>
      <c r="E25" s="2">
        <v>30</v>
      </c>
      <c r="F25">
        <v>23</v>
      </c>
      <c r="G25">
        <f>42.71-(0.42*AuctionValueTable[[#This Row],[Overall Rank]])</f>
        <v>32.630000000000003</v>
      </c>
      <c r="H25" s="2">
        <f>AuctionValueTable[[#This Row],[Auction $]]-G25</f>
        <v>-2.6300000000000026</v>
      </c>
      <c r="I25" t="s">
        <v>13</v>
      </c>
      <c r="J25" t="s">
        <v>55</v>
      </c>
      <c r="L25" t="s">
        <v>484</v>
      </c>
    </row>
    <row r="26" spans="1:21">
      <c r="A26">
        <v>25</v>
      </c>
      <c r="B26" t="s">
        <v>75</v>
      </c>
      <c r="C26" t="s">
        <v>76</v>
      </c>
      <c r="D26" t="s">
        <v>77</v>
      </c>
      <c r="E26" s="2">
        <v>32</v>
      </c>
      <c r="F26">
        <v>18</v>
      </c>
      <c r="G26">
        <f>42.71-(0.42*AuctionValueTable[[#This Row],[Overall Rank]])</f>
        <v>32.21</v>
      </c>
      <c r="H26" s="2">
        <f>AuctionValueTable[[#This Row],[Auction $]]-G26</f>
        <v>-0.21000000000000085</v>
      </c>
      <c r="I26" t="s">
        <v>31</v>
      </c>
      <c r="J26" t="s">
        <v>42</v>
      </c>
      <c r="L26" s="6"/>
      <c r="M26" s="6" t="s">
        <v>489</v>
      </c>
      <c r="N26" s="6" t="s">
        <v>490</v>
      </c>
      <c r="O26" s="6" t="s">
        <v>491</v>
      </c>
      <c r="P26" s="6" t="s">
        <v>492</v>
      </c>
      <c r="Q26" s="6" t="s">
        <v>493</v>
      </c>
    </row>
    <row r="27" spans="1:21">
      <c r="A27">
        <v>26</v>
      </c>
      <c r="B27" t="s">
        <v>78</v>
      </c>
      <c r="C27" t="s">
        <v>79</v>
      </c>
      <c r="D27" t="s">
        <v>22</v>
      </c>
      <c r="E27" s="2">
        <v>25</v>
      </c>
      <c r="F27">
        <v>35</v>
      </c>
      <c r="G27">
        <f>42.71-(0.42*AuctionValueTable[[#This Row],[Overall Rank]])</f>
        <v>31.79</v>
      </c>
      <c r="H27" s="2">
        <f>AuctionValueTable[[#This Row],[Auction $]]-G27</f>
        <v>-6.7899999999999991</v>
      </c>
      <c r="I27" t="s">
        <v>24</v>
      </c>
      <c r="J27" t="s">
        <v>55</v>
      </c>
      <c r="L27" s="4" t="s">
        <v>485</v>
      </c>
      <c r="M27" s="4">
        <v>1</v>
      </c>
      <c r="N27" s="4">
        <v>14656.065912183039</v>
      </c>
      <c r="O27" s="4">
        <v>14656.065912183039</v>
      </c>
      <c r="P27" s="4">
        <v>400.44844481825339</v>
      </c>
      <c r="Q27" s="4">
        <v>3.3084657952524712E-36</v>
      </c>
    </row>
    <row r="28" spans="1:21">
      <c r="A28">
        <v>27</v>
      </c>
      <c r="B28" t="s">
        <v>80</v>
      </c>
      <c r="C28" t="s">
        <v>81</v>
      </c>
      <c r="D28" t="s">
        <v>22</v>
      </c>
      <c r="E28" s="2">
        <v>33</v>
      </c>
      <c r="F28">
        <v>15</v>
      </c>
      <c r="G28">
        <f>42.71-(0.42*AuctionValueTable[[#This Row],[Overall Rank]])</f>
        <v>31.37</v>
      </c>
      <c r="H28" s="2">
        <f>AuctionValueTable[[#This Row],[Auction $]]-G28</f>
        <v>1.629999999999999</v>
      </c>
      <c r="I28" t="s">
        <v>31</v>
      </c>
      <c r="J28" t="s">
        <v>42</v>
      </c>
      <c r="L28" s="4" t="s">
        <v>486</v>
      </c>
      <c r="M28" s="4">
        <v>97</v>
      </c>
      <c r="N28" s="4">
        <v>3550.1159059987767</v>
      </c>
      <c r="O28" s="4">
        <v>36.599133051533784</v>
      </c>
      <c r="P28" s="4"/>
      <c r="Q28" s="4"/>
    </row>
    <row r="29" spans="1:21" ht="15" thickBot="1">
      <c r="A29">
        <v>28</v>
      </c>
      <c r="B29" t="s">
        <v>82</v>
      </c>
      <c r="C29" t="s">
        <v>83</v>
      </c>
      <c r="D29" t="s">
        <v>22</v>
      </c>
      <c r="E29" s="2">
        <v>28</v>
      </c>
      <c r="F29">
        <v>30</v>
      </c>
      <c r="G29">
        <f>42.71-(0.42*AuctionValueTable[[#This Row],[Overall Rank]])</f>
        <v>30.950000000000003</v>
      </c>
      <c r="H29" s="2">
        <f>AuctionValueTable[[#This Row],[Auction $]]-G29</f>
        <v>-2.9500000000000028</v>
      </c>
      <c r="I29" t="s">
        <v>13</v>
      </c>
      <c r="J29" t="s">
        <v>55</v>
      </c>
      <c r="L29" s="5" t="s">
        <v>487</v>
      </c>
      <c r="M29" s="5">
        <v>98</v>
      </c>
      <c r="N29" s="5">
        <v>18206.181818181816</v>
      </c>
      <c r="O29" s="5"/>
      <c r="P29" s="5"/>
      <c r="Q29" s="5"/>
    </row>
    <row r="30" spans="1:21" ht="15" thickBot="1">
      <c r="A30">
        <v>29</v>
      </c>
      <c r="B30" t="s">
        <v>84</v>
      </c>
      <c r="C30" t="s">
        <v>85</v>
      </c>
      <c r="D30" t="s">
        <v>12</v>
      </c>
      <c r="E30" s="2">
        <v>28</v>
      </c>
      <c r="F30">
        <v>30</v>
      </c>
      <c r="G30">
        <f>42.71-(0.42*AuctionValueTable[[#This Row],[Overall Rank]])</f>
        <v>30.53</v>
      </c>
      <c r="H30" s="2">
        <f>AuctionValueTable[[#This Row],[Auction $]]-G30</f>
        <v>-2.5300000000000011</v>
      </c>
      <c r="I30" t="s">
        <v>13</v>
      </c>
      <c r="J30" t="s">
        <v>55</v>
      </c>
    </row>
    <row r="31" spans="1:21">
      <c r="A31">
        <v>30</v>
      </c>
      <c r="B31" t="s">
        <v>86</v>
      </c>
      <c r="C31" t="s">
        <v>87</v>
      </c>
      <c r="D31" t="s">
        <v>22</v>
      </c>
      <c r="E31" s="2">
        <v>21</v>
      </c>
      <c r="F31">
        <v>46</v>
      </c>
      <c r="G31">
        <f>42.71-(0.42*AuctionValueTable[[#This Row],[Overall Rank]])</f>
        <v>30.11</v>
      </c>
      <c r="H31" s="2">
        <f>AuctionValueTable[[#This Row],[Auction $]]-G31</f>
        <v>-9.11</v>
      </c>
      <c r="I31" t="s">
        <v>19</v>
      </c>
      <c r="J31" t="s">
        <v>55</v>
      </c>
      <c r="L31" s="6"/>
      <c r="M31" s="6" t="s">
        <v>494</v>
      </c>
      <c r="N31" s="6" t="s">
        <v>482</v>
      </c>
      <c r="O31" s="6" t="s">
        <v>495</v>
      </c>
      <c r="P31" s="6" t="s">
        <v>496</v>
      </c>
      <c r="Q31" s="6" t="s">
        <v>497</v>
      </c>
      <c r="R31" s="6" t="s">
        <v>498</v>
      </c>
      <c r="S31" s="6" t="s">
        <v>499</v>
      </c>
      <c r="T31" s="6" t="s">
        <v>500</v>
      </c>
      <c r="U31" s="6"/>
    </row>
    <row r="32" spans="1:21">
      <c r="A32">
        <v>31</v>
      </c>
      <c r="B32" t="s">
        <v>88</v>
      </c>
      <c r="C32" t="s">
        <v>89</v>
      </c>
      <c r="D32" t="s">
        <v>22</v>
      </c>
      <c r="E32" s="2">
        <v>26</v>
      </c>
      <c r="F32">
        <v>34</v>
      </c>
      <c r="G32">
        <f>42.71-(0.42*AuctionValueTable[[#This Row],[Overall Rank]])</f>
        <v>29.69</v>
      </c>
      <c r="H32" s="2">
        <f>AuctionValueTable[[#This Row],[Auction $]]-G32</f>
        <v>-3.6900000000000013</v>
      </c>
      <c r="I32" t="s">
        <v>13</v>
      </c>
      <c r="J32" t="s">
        <v>55</v>
      </c>
      <c r="L32" s="4" t="s">
        <v>488</v>
      </c>
      <c r="M32" s="4">
        <v>42.712430426716146</v>
      </c>
      <c r="N32" s="4">
        <v>1.2253109086144538</v>
      </c>
      <c r="O32" s="4">
        <v>34.858442968580221</v>
      </c>
      <c r="P32" s="4">
        <v>1.1497889249113377E-56</v>
      </c>
      <c r="Q32" s="4">
        <v>40.28052745631318</v>
      </c>
      <c r="R32" s="4">
        <v>45.144333397119112</v>
      </c>
      <c r="S32" s="4">
        <v>40.28052745631318</v>
      </c>
      <c r="T32" s="4">
        <v>45.144333397119112</v>
      </c>
      <c r="U32" s="4"/>
    </row>
    <row r="33" spans="1:21" ht="15" thickBot="1">
      <c r="A33">
        <v>32</v>
      </c>
      <c r="B33" t="s">
        <v>90</v>
      </c>
      <c r="C33" t="s">
        <v>91</v>
      </c>
      <c r="D33" t="s">
        <v>12</v>
      </c>
      <c r="E33" s="2">
        <v>30</v>
      </c>
      <c r="F33">
        <v>23</v>
      </c>
      <c r="G33">
        <f>42.71-(0.42*AuctionValueTable[[#This Row],[Overall Rank]])</f>
        <v>29.270000000000003</v>
      </c>
      <c r="H33" s="2">
        <f>AuctionValueTable[[#This Row],[Auction $]]-G33</f>
        <v>0.72999999999999687</v>
      </c>
      <c r="I33" t="s">
        <v>31</v>
      </c>
      <c r="J33" t="s">
        <v>55</v>
      </c>
      <c r="L33" s="5" t="s">
        <v>0</v>
      </c>
      <c r="M33" s="5">
        <v>-0.42576376004947442</v>
      </c>
      <c r="N33" s="5">
        <v>2.1276264804968213E-2</v>
      </c>
      <c r="O33" s="5">
        <v>-20.011207979985965</v>
      </c>
      <c r="P33" s="5">
        <v>3.3084657952522353E-36</v>
      </c>
      <c r="Q33" s="5">
        <v>-0.46799125611966813</v>
      </c>
      <c r="R33" s="5">
        <v>-0.3835362639792807</v>
      </c>
      <c r="S33" s="5">
        <v>-0.46799125611966813</v>
      </c>
      <c r="T33" s="5">
        <v>-0.3835362639792807</v>
      </c>
      <c r="U33" s="5"/>
    </row>
    <row r="34" spans="1:21">
      <c r="A34">
        <v>33</v>
      </c>
      <c r="B34" t="s">
        <v>92</v>
      </c>
      <c r="C34" t="s">
        <v>93</v>
      </c>
      <c r="D34" t="s">
        <v>22</v>
      </c>
      <c r="E34" s="2">
        <v>24</v>
      </c>
      <c r="F34">
        <v>36</v>
      </c>
      <c r="G34">
        <f>42.71-(0.42*AuctionValueTable[[#This Row],[Overall Rank]])</f>
        <v>28.85</v>
      </c>
      <c r="H34" s="2">
        <f>AuctionValueTable[[#This Row],[Auction $]]-G34</f>
        <v>-4.8500000000000014</v>
      </c>
      <c r="I34" t="s">
        <v>13</v>
      </c>
      <c r="J34" t="s">
        <v>55</v>
      </c>
    </row>
    <row r="35" spans="1:21">
      <c r="A35">
        <v>34</v>
      </c>
      <c r="B35" t="s">
        <v>94</v>
      </c>
      <c r="C35" t="s">
        <v>95</v>
      </c>
      <c r="D35" t="s">
        <v>12</v>
      </c>
      <c r="E35" s="2">
        <v>30</v>
      </c>
      <c r="F35">
        <v>23</v>
      </c>
      <c r="G35">
        <f>42.71-(0.42*AuctionValueTable[[#This Row],[Overall Rank]])</f>
        <v>28.43</v>
      </c>
      <c r="H35" s="2">
        <f>AuctionValueTable[[#This Row],[Auction $]]-G35</f>
        <v>1.5700000000000003</v>
      </c>
      <c r="I35" t="s">
        <v>31</v>
      </c>
      <c r="J35" t="s">
        <v>55</v>
      </c>
    </row>
    <row r="36" spans="1:21">
      <c r="A36">
        <v>35</v>
      </c>
      <c r="B36" t="s">
        <v>96</v>
      </c>
      <c r="C36" t="s">
        <v>97</v>
      </c>
      <c r="D36" t="s">
        <v>12</v>
      </c>
      <c r="E36" s="2">
        <v>28</v>
      </c>
      <c r="F36">
        <v>30</v>
      </c>
      <c r="G36">
        <f>42.71-(0.42*AuctionValueTable[[#This Row],[Overall Rank]])</f>
        <v>28.01</v>
      </c>
      <c r="H36" s="2">
        <f>AuctionValueTable[[#This Row],[Auction $]]-G36</f>
        <v>-1.0000000000001563E-2</v>
      </c>
      <c r="I36" t="s">
        <v>31</v>
      </c>
      <c r="J36" t="s">
        <v>55</v>
      </c>
    </row>
    <row r="37" spans="1:21">
      <c r="A37">
        <v>36</v>
      </c>
      <c r="B37" t="s">
        <v>98</v>
      </c>
      <c r="C37" t="s">
        <v>99</v>
      </c>
      <c r="D37" t="s">
        <v>22</v>
      </c>
      <c r="E37" s="2">
        <v>17</v>
      </c>
      <c r="F37">
        <v>51</v>
      </c>
      <c r="G37">
        <f>42.71-(0.42*AuctionValueTable[[#This Row],[Overall Rank]])</f>
        <v>27.590000000000003</v>
      </c>
      <c r="H37" s="2">
        <f>AuctionValueTable[[#This Row],[Auction $]]-G37</f>
        <v>-10.590000000000003</v>
      </c>
      <c r="I37" t="s">
        <v>19</v>
      </c>
      <c r="J37" t="s">
        <v>100</v>
      </c>
    </row>
    <row r="38" spans="1:21">
      <c r="A38">
        <v>37</v>
      </c>
      <c r="B38" t="s">
        <v>101</v>
      </c>
      <c r="C38" t="s">
        <v>102</v>
      </c>
      <c r="D38" t="s">
        <v>22</v>
      </c>
      <c r="E38" s="2">
        <v>22</v>
      </c>
      <c r="F38">
        <v>43</v>
      </c>
      <c r="G38">
        <f>42.71-(0.42*AuctionValueTable[[#This Row],[Overall Rank]])</f>
        <v>27.17</v>
      </c>
      <c r="H38" s="2">
        <f>AuctionValueTable[[#This Row],[Auction $]]-G38</f>
        <v>-5.1700000000000017</v>
      </c>
      <c r="I38" t="s">
        <v>24</v>
      </c>
      <c r="J38" t="s">
        <v>55</v>
      </c>
    </row>
    <row r="39" spans="1:21">
      <c r="A39">
        <v>38</v>
      </c>
      <c r="B39" t="s">
        <v>103</v>
      </c>
      <c r="C39" t="s">
        <v>104</v>
      </c>
      <c r="D39" t="s">
        <v>62</v>
      </c>
      <c r="E39" s="2">
        <v>23</v>
      </c>
      <c r="F39">
        <v>38</v>
      </c>
      <c r="G39">
        <f>42.71-(0.42*AuctionValueTable[[#This Row],[Overall Rank]])</f>
        <v>26.75</v>
      </c>
      <c r="H39" s="2">
        <f>AuctionValueTable[[#This Row],[Auction $]]-G39</f>
        <v>-3.75</v>
      </c>
      <c r="I39" t="s">
        <v>13</v>
      </c>
      <c r="J39" t="s">
        <v>55</v>
      </c>
    </row>
    <row r="40" spans="1:21">
      <c r="A40">
        <v>39</v>
      </c>
      <c r="B40" t="s">
        <v>105</v>
      </c>
      <c r="C40" t="s">
        <v>106</v>
      </c>
      <c r="D40" t="s">
        <v>12</v>
      </c>
      <c r="E40" s="2">
        <v>32</v>
      </c>
      <c r="F40">
        <v>18</v>
      </c>
      <c r="G40">
        <f>42.71-(0.42*AuctionValueTable[[#This Row],[Overall Rank]])</f>
        <v>26.330000000000002</v>
      </c>
      <c r="H40" s="2">
        <f>AuctionValueTable[[#This Row],[Auction $]]-G40</f>
        <v>5.6699999999999982</v>
      </c>
      <c r="I40" t="s">
        <v>35</v>
      </c>
      <c r="J40" t="s">
        <v>42</v>
      </c>
    </row>
    <row r="41" spans="1:21">
      <c r="A41">
        <v>40</v>
      </c>
      <c r="B41" t="s">
        <v>107</v>
      </c>
      <c r="C41" t="s">
        <v>108</v>
      </c>
      <c r="D41" t="s">
        <v>22</v>
      </c>
      <c r="E41" s="2">
        <v>20</v>
      </c>
      <c r="F41">
        <v>48</v>
      </c>
      <c r="G41">
        <f>42.71-(0.42*AuctionValueTable[[#This Row],[Overall Rank]])</f>
        <v>25.91</v>
      </c>
      <c r="H41" s="2">
        <f>AuctionValueTable[[#This Row],[Auction $]]-G41</f>
        <v>-5.91</v>
      </c>
      <c r="I41" t="s">
        <v>24</v>
      </c>
      <c r="J41" t="s">
        <v>100</v>
      </c>
    </row>
    <row r="42" spans="1:21">
      <c r="A42">
        <v>41</v>
      </c>
      <c r="B42" t="s">
        <v>109</v>
      </c>
      <c r="C42" t="s">
        <v>110</v>
      </c>
      <c r="D42" t="s">
        <v>22</v>
      </c>
      <c r="E42" s="2">
        <v>23</v>
      </c>
      <c r="F42">
        <v>38</v>
      </c>
      <c r="G42">
        <f>42.71-(0.42*AuctionValueTable[[#This Row],[Overall Rank]])</f>
        <v>25.490000000000002</v>
      </c>
      <c r="H42" s="2">
        <f>AuctionValueTable[[#This Row],[Auction $]]-G42</f>
        <v>-2.490000000000002</v>
      </c>
      <c r="I42" t="s">
        <v>13</v>
      </c>
      <c r="J42" t="s">
        <v>55</v>
      </c>
    </row>
    <row r="43" spans="1:21">
      <c r="A43">
        <v>42</v>
      </c>
      <c r="B43" t="s">
        <v>111</v>
      </c>
      <c r="C43" t="s">
        <v>112</v>
      </c>
      <c r="D43" t="s">
        <v>12</v>
      </c>
      <c r="E43" s="2">
        <v>27</v>
      </c>
      <c r="F43">
        <v>33</v>
      </c>
      <c r="G43">
        <f>42.71-(0.42*AuctionValueTable[[#This Row],[Overall Rank]])</f>
        <v>25.07</v>
      </c>
      <c r="H43" s="2">
        <f>AuctionValueTable[[#This Row],[Auction $]]-G43</f>
        <v>1.9299999999999997</v>
      </c>
      <c r="I43" t="s">
        <v>31</v>
      </c>
      <c r="J43" t="s">
        <v>55</v>
      </c>
    </row>
    <row r="44" spans="1:21">
      <c r="A44">
        <v>43</v>
      </c>
      <c r="B44" t="s">
        <v>113</v>
      </c>
      <c r="C44" t="s">
        <v>114</v>
      </c>
      <c r="D44" t="s">
        <v>22</v>
      </c>
      <c r="E44" s="2">
        <v>15</v>
      </c>
      <c r="F44">
        <v>57</v>
      </c>
      <c r="G44">
        <f>42.71-(0.42*AuctionValueTable[[#This Row],[Overall Rank]])</f>
        <v>24.650000000000002</v>
      </c>
      <c r="H44" s="2">
        <f>AuctionValueTable[[#This Row],[Auction $]]-G44</f>
        <v>-9.6500000000000021</v>
      </c>
      <c r="I44" t="s">
        <v>24</v>
      </c>
      <c r="J44" t="s">
        <v>100</v>
      </c>
    </row>
    <row r="45" spans="1:21">
      <c r="A45">
        <v>44</v>
      </c>
      <c r="B45" t="s">
        <v>115</v>
      </c>
      <c r="C45" t="s">
        <v>116</v>
      </c>
      <c r="D45" t="s">
        <v>12</v>
      </c>
      <c r="E45" s="2">
        <v>23</v>
      </c>
      <c r="F45">
        <v>38</v>
      </c>
      <c r="G45">
        <f>42.71-(0.42*AuctionValueTable[[#This Row],[Overall Rank]])</f>
        <v>24.23</v>
      </c>
      <c r="H45" s="2">
        <f>AuctionValueTable[[#This Row],[Auction $]]-G45</f>
        <v>-1.2300000000000004</v>
      </c>
      <c r="I45" t="s">
        <v>31</v>
      </c>
      <c r="J45" t="s">
        <v>55</v>
      </c>
    </row>
    <row r="46" spans="1:21">
      <c r="A46">
        <v>45</v>
      </c>
      <c r="B46" t="s">
        <v>117</v>
      </c>
      <c r="C46" t="s">
        <v>118</v>
      </c>
      <c r="D46" t="s">
        <v>22</v>
      </c>
      <c r="E46" s="2">
        <v>17</v>
      </c>
      <c r="F46">
        <v>51</v>
      </c>
      <c r="G46">
        <f>42.71-(0.42*AuctionValueTable[[#This Row],[Overall Rank]])</f>
        <v>23.810000000000002</v>
      </c>
      <c r="H46" s="2">
        <f>AuctionValueTable[[#This Row],[Auction $]]-G46</f>
        <v>-6.8100000000000023</v>
      </c>
      <c r="I46" t="s">
        <v>24</v>
      </c>
      <c r="J46" t="s">
        <v>100</v>
      </c>
    </row>
    <row r="47" spans="1:21">
      <c r="A47">
        <v>46</v>
      </c>
      <c r="B47" t="s">
        <v>119</v>
      </c>
      <c r="C47" t="s">
        <v>120</v>
      </c>
      <c r="D47" t="s">
        <v>22</v>
      </c>
      <c r="E47" s="2">
        <v>15</v>
      </c>
      <c r="F47">
        <v>57</v>
      </c>
      <c r="G47">
        <f>42.71-(0.42*AuctionValueTable[[#This Row],[Overall Rank]])</f>
        <v>23.39</v>
      </c>
      <c r="H47" s="2">
        <f>AuctionValueTable[[#This Row],[Auction $]]-G47</f>
        <v>-8.39</v>
      </c>
      <c r="I47" t="s">
        <v>24</v>
      </c>
      <c r="J47" t="s">
        <v>100</v>
      </c>
    </row>
    <row r="48" spans="1:21">
      <c r="A48">
        <v>47</v>
      </c>
      <c r="B48" t="s">
        <v>121</v>
      </c>
      <c r="C48" t="s">
        <v>122</v>
      </c>
      <c r="D48" t="s">
        <v>12</v>
      </c>
      <c r="E48" s="2">
        <v>16</v>
      </c>
      <c r="F48">
        <v>54</v>
      </c>
      <c r="G48">
        <f>42.71-(0.42*AuctionValueTable[[#This Row],[Overall Rank]])</f>
        <v>22.970000000000002</v>
      </c>
      <c r="H48" s="2">
        <f>AuctionValueTable[[#This Row],[Auction $]]-G48</f>
        <v>-6.9700000000000024</v>
      </c>
      <c r="I48" t="s">
        <v>24</v>
      </c>
      <c r="J48" t="s">
        <v>100</v>
      </c>
    </row>
    <row r="49" spans="1:10">
      <c r="A49">
        <v>48</v>
      </c>
      <c r="B49" t="s">
        <v>123</v>
      </c>
      <c r="C49" t="s">
        <v>124</v>
      </c>
      <c r="D49" t="s">
        <v>77</v>
      </c>
      <c r="E49" s="2">
        <v>14</v>
      </c>
      <c r="F49">
        <v>63</v>
      </c>
      <c r="G49">
        <f>42.71-(0.42*AuctionValueTable[[#This Row],[Overall Rank]])</f>
        <v>22.55</v>
      </c>
      <c r="H49" s="2">
        <f>AuctionValueTable[[#This Row],[Auction $]]-G49</f>
        <v>-8.5500000000000007</v>
      </c>
      <c r="I49" t="s">
        <v>19</v>
      </c>
      <c r="J49" t="s">
        <v>100</v>
      </c>
    </row>
    <row r="50" spans="1:10">
      <c r="A50">
        <v>49</v>
      </c>
      <c r="B50" t="s">
        <v>125</v>
      </c>
      <c r="C50" t="s">
        <v>126</v>
      </c>
      <c r="D50" t="s">
        <v>22</v>
      </c>
      <c r="E50" s="2">
        <v>17</v>
      </c>
      <c r="F50">
        <v>51</v>
      </c>
      <c r="G50">
        <f>42.71-(0.42*AuctionValueTable[[#This Row],[Overall Rank]])</f>
        <v>22.130000000000003</v>
      </c>
      <c r="H50" s="2">
        <f>AuctionValueTable[[#This Row],[Auction $]]-G50</f>
        <v>-5.1300000000000026</v>
      </c>
      <c r="I50" t="s">
        <v>13</v>
      </c>
      <c r="J50" t="s">
        <v>100</v>
      </c>
    </row>
    <row r="51" spans="1:10">
      <c r="A51">
        <v>50</v>
      </c>
      <c r="B51" t="s">
        <v>127</v>
      </c>
      <c r="C51" t="s">
        <v>128</v>
      </c>
      <c r="D51" t="s">
        <v>12</v>
      </c>
      <c r="E51" s="2">
        <v>24</v>
      </c>
      <c r="F51">
        <v>36</v>
      </c>
      <c r="G51">
        <f>42.71-(0.42*AuctionValueTable[[#This Row],[Overall Rank]])</f>
        <v>21.71</v>
      </c>
      <c r="H51" s="2">
        <f>AuctionValueTable[[#This Row],[Auction $]]-G51</f>
        <v>2.2899999999999991</v>
      </c>
      <c r="I51" t="s">
        <v>31</v>
      </c>
      <c r="J51" t="s">
        <v>55</v>
      </c>
    </row>
    <row r="52" spans="1:10">
      <c r="A52">
        <v>51</v>
      </c>
      <c r="B52" t="s">
        <v>129</v>
      </c>
      <c r="C52" t="s">
        <v>130</v>
      </c>
      <c r="D52" t="s">
        <v>12</v>
      </c>
      <c r="E52" s="2">
        <v>22</v>
      </c>
      <c r="F52">
        <v>43</v>
      </c>
      <c r="G52">
        <f>42.71-(0.42*AuctionValueTable[[#This Row],[Overall Rank]])</f>
        <v>21.290000000000003</v>
      </c>
      <c r="H52" s="2">
        <f>AuctionValueTable[[#This Row],[Auction $]]-G52</f>
        <v>0.7099999999999973</v>
      </c>
      <c r="I52" t="s">
        <v>31</v>
      </c>
      <c r="J52" t="s">
        <v>55</v>
      </c>
    </row>
    <row r="53" spans="1:10">
      <c r="A53">
        <v>52</v>
      </c>
      <c r="B53" t="s">
        <v>131</v>
      </c>
      <c r="C53" t="s">
        <v>132</v>
      </c>
      <c r="D53" t="s">
        <v>12</v>
      </c>
      <c r="E53" s="2">
        <v>20</v>
      </c>
      <c r="F53">
        <v>48</v>
      </c>
      <c r="G53">
        <f>42.71-(0.42*AuctionValueTable[[#This Row],[Overall Rank]])</f>
        <v>20.87</v>
      </c>
      <c r="H53" s="2">
        <f>AuctionValueTable[[#This Row],[Auction $]]-G53</f>
        <v>-0.87000000000000099</v>
      </c>
      <c r="I53" t="s">
        <v>13</v>
      </c>
      <c r="J53" t="s">
        <v>100</v>
      </c>
    </row>
    <row r="54" spans="1:10">
      <c r="A54">
        <v>53</v>
      </c>
      <c r="B54" t="s">
        <v>133</v>
      </c>
      <c r="C54" t="s">
        <v>134</v>
      </c>
      <c r="D54" t="s">
        <v>22</v>
      </c>
      <c r="E54" s="2">
        <v>23</v>
      </c>
      <c r="F54">
        <v>38</v>
      </c>
      <c r="G54">
        <f>42.71-(0.42*AuctionValueTable[[#This Row],[Overall Rank]])</f>
        <v>20.450000000000003</v>
      </c>
      <c r="H54" s="2">
        <f>AuctionValueTable[[#This Row],[Auction $]]-G54</f>
        <v>2.5499999999999972</v>
      </c>
      <c r="I54" t="s">
        <v>35</v>
      </c>
      <c r="J54" t="s">
        <v>55</v>
      </c>
    </row>
    <row r="55" spans="1:10">
      <c r="A55">
        <v>54</v>
      </c>
      <c r="B55" t="s">
        <v>135</v>
      </c>
      <c r="C55" t="s">
        <v>136</v>
      </c>
      <c r="D55" t="s">
        <v>22</v>
      </c>
      <c r="E55" s="2">
        <v>23</v>
      </c>
      <c r="F55">
        <v>38</v>
      </c>
      <c r="G55">
        <f>42.71-(0.42*AuctionValueTable[[#This Row],[Overall Rank]])</f>
        <v>20.03</v>
      </c>
      <c r="H55" s="2">
        <f>AuctionValueTable[[#This Row],[Auction $]]-G55</f>
        <v>2.9699999999999989</v>
      </c>
      <c r="I55" t="s">
        <v>35</v>
      </c>
      <c r="J55" t="s">
        <v>55</v>
      </c>
    </row>
    <row r="56" spans="1:10">
      <c r="A56">
        <v>55</v>
      </c>
      <c r="B56" t="s">
        <v>137</v>
      </c>
      <c r="C56" t="s">
        <v>138</v>
      </c>
      <c r="D56" t="s">
        <v>62</v>
      </c>
      <c r="E56" s="2">
        <v>16</v>
      </c>
      <c r="F56">
        <v>54</v>
      </c>
      <c r="G56">
        <f>42.71-(0.42*AuctionValueTable[[#This Row],[Overall Rank]])</f>
        <v>19.610000000000003</v>
      </c>
      <c r="H56" s="2">
        <f>AuctionValueTable[[#This Row],[Auction $]]-G56</f>
        <v>-3.610000000000003</v>
      </c>
      <c r="I56" t="s">
        <v>13</v>
      </c>
      <c r="J56" t="s">
        <v>100</v>
      </c>
    </row>
    <row r="57" spans="1:10">
      <c r="A57">
        <v>56</v>
      </c>
      <c r="B57" t="s">
        <v>139</v>
      </c>
      <c r="C57" t="s">
        <v>140</v>
      </c>
      <c r="D57" t="s">
        <v>12</v>
      </c>
      <c r="E57" s="2">
        <v>22</v>
      </c>
      <c r="F57">
        <v>43</v>
      </c>
      <c r="G57">
        <f>42.71-(0.42*AuctionValueTable[[#This Row],[Overall Rank]])</f>
        <v>19.190000000000001</v>
      </c>
      <c r="H57" s="2">
        <f>AuctionValueTable[[#This Row],[Auction $]]-G57</f>
        <v>2.8099999999999987</v>
      </c>
      <c r="I57" t="s">
        <v>31</v>
      </c>
      <c r="J57" t="s">
        <v>55</v>
      </c>
    </row>
    <row r="58" spans="1:10">
      <c r="A58">
        <v>57</v>
      </c>
      <c r="B58" t="s">
        <v>141</v>
      </c>
      <c r="C58" t="s">
        <v>142</v>
      </c>
      <c r="D58" t="s">
        <v>22</v>
      </c>
      <c r="E58" s="2">
        <v>15</v>
      </c>
      <c r="F58">
        <v>57</v>
      </c>
      <c r="G58">
        <f>42.71-(0.42*AuctionValueTable[[#This Row],[Overall Rank]])</f>
        <v>18.770000000000003</v>
      </c>
      <c r="H58" s="2">
        <f>AuctionValueTable[[#This Row],[Auction $]]-G58</f>
        <v>-3.7700000000000031</v>
      </c>
      <c r="I58" t="s">
        <v>13</v>
      </c>
      <c r="J58" t="s">
        <v>100</v>
      </c>
    </row>
    <row r="59" spans="1:10">
      <c r="A59">
        <v>58</v>
      </c>
      <c r="B59" t="s">
        <v>143</v>
      </c>
      <c r="C59" t="s">
        <v>144</v>
      </c>
      <c r="D59" t="s">
        <v>77</v>
      </c>
      <c r="E59" s="2">
        <v>9</v>
      </c>
      <c r="F59">
        <v>81</v>
      </c>
      <c r="G59">
        <f>42.71-(0.42*AuctionValueTable[[#This Row],[Overall Rank]])</f>
        <v>18.350000000000001</v>
      </c>
      <c r="H59" s="2">
        <f>AuctionValueTable[[#This Row],[Auction $]]-G59</f>
        <v>-9.3500000000000014</v>
      </c>
      <c r="I59" t="s">
        <v>19</v>
      </c>
      <c r="J59" t="s">
        <v>145</v>
      </c>
    </row>
    <row r="60" spans="1:10">
      <c r="A60">
        <v>59</v>
      </c>
      <c r="B60" t="s">
        <v>146</v>
      </c>
      <c r="C60" t="s">
        <v>147</v>
      </c>
      <c r="D60" t="s">
        <v>12</v>
      </c>
      <c r="E60" s="2">
        <v>15</v>
      </c>
      <c r="F60">
        <v>57</v>
      </c>
      <c r="G60">
        <f>42.71-(0.42*AuctionValueTable[[#This Row],[Overall Rank]])</f>
        <v>17.930000000000003</v>
      </c>
      <c r="H60" s="2">
        <f>AuctionValueTable[[#This Row],[Auction $]]-G60</f>
        <v>-2.9300000000000033</v>
      </c>
      <c r="I60" t="s">
        <v>13</v>
      </c>
      <c r="J60" t="s">
        <v>100</v>
      </c>
    </row>
    <row r="61" spans="1:10">
      <c r="A61">
        <v>60</v>
      </c>
      <c r="B61" t="s">
        <v>148</v>
      </c>
      <c r="C61" t="s">
        <v>149</v>
      </c>
      <c r="D61" t="s">
        <v>22</v>
      </c>
      <c r="E61" s="2">
        <v>16</v>
      </c>
      <c r="F61">
        <v>54</v>
      </c>
      <c r="G61">
        <f>42.71-(0.42*AuctionValueTable[[#This Row],[Overall Rank]])</f>
        <v>17.510000000000002</v>
      </c>
      <c r="H61" s="2">
        <f>AuctionValueTable[[#This Row],[Auction $]]-G61</f>
        <v>-1.5100000000000016</v>
      </c>
      <c r="I61" t="s">
        <v>31</v>
      </c>
      <c r="J61" t="s">
        <v>100</v>
      </c>
    </row>
    <row r="62" spans="1:10">
      <c r="A62">
        <v>61</v>
      </c>
      <c r="B62" t="s">
        <v>150</v>
      </c>
      <c r="C62" t="s">
        <v>151</v>
      </c>
      <c r="D62" t="s">
        <v>77</v>
      </c>
      <c r="E62" s="2">
        <v>14</v>
      </c>
      <c r="F62">
        <v>63</v>
      </c>
      <c r="G62">
        <f>42.71-(0.42*AuctionValueTable[[#This Row],[Overall Rank]])</f>
        <v>17.090000000000003</v>
      </c>
      <c r="H62" s="2">
        <f>AuctionValueTable[[#This Row],[Auction $]]-G62</f>
        <v>-3.0900000000000034</v>
      </c>
      <c r="I62" t="s">
        <v>13</v>
      </c>
      <c r="J62" t="s">
        <v>100</v>
      </c>
    </row>
    <row r="63" spans="1:10">
      <c r="A63">
        <v>62</v>
      </c>
      <c r="B63" t="s">
        <v>152</v>
      </c>
      <c r="C63" t="s">
        <v>153</v>
      </c>
      <c r="D63" t="s">
        <v>22</v>
      </c>
      <c r="E63" s="2">
        <v>21</v>
      </c>
      <c r="F63">
        <v>46</v>
      </c>
      <c r="G63">
        <f>42.71-(0.42*AuctionValueTable[[#This Row],[Overall Rank]])</f>
        <v>16.670000000000002</v>
      </c>
      <c r="H63" s="2">
        <f>AuctionValueTable[[#This Row],[Auction $]]-G63</f>
        <v>4.3299999999999983</v>
      </c>
      <c r="I63" t="s">
        <v>35</v>
      </c>
      <c r="J63" t="s">
        <v>55</v>
      </c>
    </row>
    <row r="64" spans="1:10">
      <c r="A64">
        <v>63</v>
      </c>
      <c r="B64" t="s">
        <v>154</v>
      </c>
      <c r="C64" t="s">
        <v>155</v>
      </c>
      <c r="D64" t="s">
        <v>22</v>
      </c>
      <c r="E64" s="2">
        <v>9</v>
      </c>
      <c r="F64">
        <v>81</v>
      </c>
      <c r="G64">
        <f>42.71-(0.42*AuctionValueTable[[#This Row],[Overall Rank]])</f>
        <v>16.250000000000004</v>
      </c>
      <c r="H64" s="2">
        <f>AuctionValueTable[[#This Row],[Auction $]]-G64</f>
        <v>-7.2500000000000036</v>
      </c>
      <c r="I64" t="s">
        <v>19</v>
      </c>
      <c r="J64" t="s">
        <v>145</v>
      </c>
    </row>
    <row r="65" spans="1:10">
      <c r="A65">
        <v>64</v>
      </c>
      <c r="B65" t="s">
        <v>156</v>
      </c>
      <c r="C65" t="s">
        <v>157</v>
      </c>
      <c r="D65" t="s">
        <v>12</v>
      </c>
      <c r="E65" s="2">
        <v>15</v>
      </c>
      <c r="F65">
        <v>57</v>
      </c>
      <c r="G65">
        <f>42.71-(0.42*AuctionValueTable[[#This Row],[Overall Rank]])</f>
        <v>15.830000000000002</v>
      </c>
      <c r="H65" s="2">
        <f>AuctionValueTable[[#This Row],[Auction $]]-G65</f>
        <v>-0.83000000000000185</v>
      </c>
      <c r="I65" t="s">
        <v>31</v>
      </c>
      <c r="J65" t="s">
        <v>100</v>
      </c>
    </row>
    <row r="66" spans="1:10">
      <c r="A66">
        <v>65</v>
      </c>
      <c r="B66" t="s">
        <v>158</v>
      </c>
      <c r="C66" t="s">
        <v>159</v>
      </c>
      <c r="D66" t="s">
        <v>77</v>
      </c>
      <c r="E66" s="2">
        <v>14</v>
      </c>
      <c r="F66">
        <v>63</v>
      </c>
      <c r="G66">
        <f>42.71-(0.42*AuctionValueTable[[#This Row],[Overall Rank]])</f>
        <v>15.41</v>
      </c>
      <c r="H66" s="2">
        <f>AuctionValueTable[[#This Row],[Auction $]]-G66</f>
        <v>-1.4100000000000001</v>
      </c>
      <c r="I66" t="s">
        <v>13</v>
      </c>
      <c r="J66" t="s">
        <v>100</v>
      </c>
    </row>
    <row r="67" spans="1:10">
      <c r="A67">
        <v>66</v>
      </c>
      <c r="B67" t="s">
        <v>160</v>
      </c>
      <c r="C67" t="s">
        <v>161</v>
      </c>
      <c r="D67" t="s">
        <v>22</v>
      </c>
      <c r="E67" s="2">
        <v>6</v>
      </c>
      <c r="F67">
        <v>102</v>
      </c>
      <c r="G67">
        <f>42.71-(0.42*AuctionValueTable[[#This Row],[Overall Rank]])</f>
        <v>14.990000000000002</v>
      </c>
      <c r="H67" s="2">
        <f>AuctionValueTable[[#This Row],[Auction $]]-G67</f>
        <v>-8.990000000000002</v>
      </c>
      <c r="I67" t="s">
        <v>19</v>
      </c>
      <c r="J67" t="s">
        <v>145</v>
      </c>
    </row>
    <row r="68" spans="1:10">
      <c r="A68">
        <v>67</v>
      </c>
      <c r="B68" t="s">
        <v>162</v>
      </c>
      <c r="C68" t="s">
        <v>163</v>
      </c>
      <c r="D68" t="s">
        <v>77</v>
      </c>
      <c r="E68" s="2">
        <v>6</v>
      </c>
      <c r="F68">
        <v>102</v>
      </c>
      <c r="G68">
        <f>42.71-(0.42*AuctionValueTable[[#This Row],[Overall Rank]])</f>
        <v>14.57</v>
      </c>
      <c r="H68" s="2">
        <f>AuctionValueTable[[#This Row],[Auction $]]-G68</f>
        <v>-8.57</v>
      </c>
      <c r="I68" t="s">
        <v>19</v>
      </c>
      <c r="J68" t="s">
        <v>145</v>
      </c>
    </row>
    <row r="69" spans="1:10">
      <c r="A69">
        <v>68</v>
      </c>
      <c r="B69" t="s">
        <v>164</v>
      </c>
      <c r="C69" t="s">
        <v>165</v>
      </c>
      <c r="D69" t="s">
        <v>22</v>
      </c>
      <c r="E69" s="2">
        <v>9</v>
      </c>
      <c r="F69">
        <v>81</v>
      </c>
      <c r="G69">
        <f>42.71-(0.42*AuctionValueTable[[#This Row],[Overall Rank]])</f>
        <v>14.150000000000002</v>
      </c>
      <c r="H69" s="2">
        <f>AuctionValueTable[[#This Row],[Auction $]]-G69</f>
        <v>-5.1500000000000021</v>
      </c>
      <c r="I69" t="s">
        <v>24</v>
      </c>
      <c r="J69" t="s">
        <v>145</v>
      </c>
    </row>
    <row r="70" spans="1:10">
      <c r="A70">
        <v>69</v>
      </c>
      <c r="B70" t="s">
        <v>166</v>
      </c>
      <c r="C70" t="s">
        <v>167</v>
      </c>
      <c r="D70" t="s">
        <v>12</v>
      </c>
      <c r="E70" s="2">
        <v>13</v>
      </c>
      <c r="F70">
        <v>67</v>
      </c>
      <c r="G70">
        <f>42.71-(0.42*AuctionValueTable[[#This Row],[Overall Rank]])</f>
        <v>13.73</v>
      </c>
      <c r="H70" s="2">
        <f>AuctionValueTable[[#This Row],[Auction $]]-G70</f>
        <v>-0.73000000000000043</v>
      </c>
      <c r="I70" t="s">
        <v>13</v>
      </c>
      <c r="J70" t="s">
        <v>100</v>
      </c>
    </row>
    <row r="71" spans="1:10">
      <c r="A71">
        <v>70</v>
      </c>
      <c r="B71" t="s">
        <v>168</v>
      </c>
      <c r="C71" t="s">
        <v>169</v>
      </c>
      <c r="D71" t="s">
        <v>22</v>
      </c>
      <c r="E71" s="2">
        <v>13</v>
      </c>
      <c r="F71">
        <v>67</v>
      </c>
      <c r="G71">
        <f>42.71-(0.42*AuctionValueTable[[#This Row],[Overall Rank]])</f>
        <v>13.310000000000002</v>
      </c>
      <c r="H71" s="2">
        <f>AuctionValueTable[[#This Row],[Auction $]]-G71</f>
        <v>-0.31000000000000227</v>
      </c>
      <c r="I71" t="s">
        <v>13</v>
      </c>
      <c r="J71" t="s">
        <v>100</v>
      </c>
    </row>
    <row r="72" spans="1:10">
      <c r="A72">
        <v>71</v>
      </c>
      <c r="B72" t="s">
        <v>170</v>
      </c>
      <c r="C72" t="s">
        <v>171</v>
      </c>
      <c r="D72" t="s">
        <v>62</v>
      </c>
      <c r="E72" s="2">
        <v>13</v>
      </c>
      <c r="F72">
        <v>67</v>
      </c>
      <c r="G72">
        <f>42.71-(0.42*AuctionValueTable[[#This Row],[Overall Rank]])</f>
        <v>12.89</v>
      </c>
      <c r="H72" s="2">
        <f>AuctionValueTable[[#This Row],[Auction $]]-G72</f>
        <v>0.10999999999999943</v>
      </c>
      <c r="I72" t="s">
        <v>13</v>
      </c>
      <c r="J72" t="s">
        <v>100</v>
      </c>
    </row>
    <row r="73" spans="1:10">
      <c r="A73">
        <v>72</v>
      </c>
      <c r="B73" t="s">
        <v>172</v>
      </c>
      <c r="C73" t="s">
        <v>173</v>
      </c>
      <c r="D73" t="s">
        <v>77</v>
      </c>
      <c r="E73" s="2">
        <v>13</v>
      </c>
      <c r="F73">
        <v>67</v>
      </c>
      <c r="G73">
        <f>42.71-(0.42*AuctionValueTable[[#This Row],[Overall Rank]])</f>
        <v>12.470000000000002</v>
      </c>
      <c r="H73" s="2">
        <f>AuctionValueTable[[#This Row],[Auction $]]-G73</f>
        <v>0.52999999999999758</v>
      </c>
      <c r="I73" t="s">
        <v>31</v>
      </c>
      <c r="J73" t="s">
        <v>100</v>
      </c>
    </row>
    <row r="74" spans="1:10">
      <c r="A74">
        <v>73</v>
      </c>
      <c r="B74" t="s">
        <v>174</v>
      </c>
      <c r="C74" t="s">
        <v>175</v>
      </c>
      <c r="D74" t="s">
        <v>12</v>
      </c>
      <c r="E74" s="2">
        <v>11</v>
      </c>
      <c r="F74">
        <v>78</v>
      </c>
      <c r="G74">
        <f>42.71-(0.42*AuctionValueTable[[#This Row],[Overall Rank]])</f>
        <v>12.05</v>
      </c>
      <c r="H74" s="2">
        <f>AuctionValueTable[[#This Row],[Auction $]]-G74</f>
        <v>-1.0500000000000007</v>
      </c>
      <c r="I74" t="s">
        <v>24</v>
      </c>
      <c r="J74" t="s">
        <v>100</v>
      </c>
    </row>
    <row r="75" spans="1:10">
      <c r="A75">
        <v>74</v>
      </c>
      <c r="B75" t="s">
        <v>176</v>
      </c>
      <c r="C75" t="s">
        <v>177</v>
      </c>
      <c r="D75" t="s">
        <v>22</v>
      </c>
      <c r="E75" s="2">
        <v>4</v>
      </c>
      <c r="F75">
        <v>114</v>
      </c>
      <c r="G75">
        <f>42.71-(0.42*AuctionValueTable[[#This Row],[Overall Rank]])</f>
        <v>11.630000000000003</v>
      </c>
      <c r="H75" s="2">
        <f>AuctionValueTable[[#This Row],[Auction $]]-G75</f>
        <v>-7.6300000000000026</v>
      </c>
      <c r="I75" t="s">
        <v>19</v>
      </c>
      <c r="J75" t="s">
        <v>145</v>
      </c>
    </row>
    <row r="76" spans="1:10">
      <c r="A76">
        <v>75</v>
      </c>
      <c r="B76" t="s">
        <v>178</v>
      </c>
      <c r="C76" t="s">
        <v>179</v>
      </c>
      <c r="D76" t="s">
        <v>77</v>
      </c>
      <c r="E76" s="2">
        <v>8</v>
      </c>
      <c r="F76">
        <v>88</v>
      </c>
      <c r="G76">
        <f>42.71-(0.42*AuctionValueTable[[#This Row],[Overall Rank]])</f>
        <v>11.21</v>
      </c>
      <c r="H76" s="2">
        <f>AuctionValueTable[[#This Row],[Auction $]]-G76</f>
        <v>-3.2100000000000009</v>
      </c>
      <c r="I76" t="s">
        <v>24</v>
      </c>
      <c r="J76" t="s">
        <v>145</v>
      </c>
    </row>
    <row r="77" spans="1:10">
      <c r="A77">
        <v>76</v>
      </c>
      <c r="B77" t="s">
        <v>180</v>
      </c>
      <c r="C77" t="s">
        <v>181</v>
      </c>
      <c r="D77" t="s">
        <v>12</v>
      </c>
      <c r="E77" s="2">
        <v>15</v>
      </c>
      <c r="F77">
        <v>57</v>
      </c>
      <c r="G77">
        <f>42.71-(0.42*AuctionValueTable[[#This Row],[Overall Rank]])</f>
        <v>10.790000000000003</v>
      </c>
      <c r="H77" s="2">
        <f>AuctionValueTable[[#This Row],[Auction $]]-G77</f>
        <v>4.2099999999999973</v>
      </c>
      <c r="I77" t="s">
        <v>35</v>
      </c>
      <c r="J77" t="s">
        <v>100</v>
      </c>
    </row>
    <row r="78" spans="1:10">
      <c r="A78">
        <v>77</v>
      </c>
      <c r="B78" t="s">
        <v>182</v>
      </c>
      <c r="C78" t="s">
        <v>183</v>
      </c>
      <c r="D78" t="s">
        <v>22</v>
      </c>
      <c r="E78" s="2">
        <v>13</v>
      </c>
      <c r="F78">
        <v>67</v>
      </c>
      <c r="G78">
        <f>42.71-(0.42*AuctionValueTable[[#This Row],[Overall Rank]])</f>
        <v>10.370000000000005</v>
      </c>
      <c r="H78" s="2">
        <f>AuctionValueTable[[#This Row],[Auction $]]-G78</f>
        <v>2.6299999999999955</v>
      </c>
      <c r="I78" t="s">
        <v>31</v>
      </c>
      <c r="J78" t="s">
        <v>100</v>
      </c>
    </row>
    <row r="79" spans="1:10">
      <c r="A79">
        <v>78</v>
      </c>
      <c r="B79" t="s">
        <v>184</v>
      </c>
      <c r="C79" t="s">
        <v>185</v>
      </c>
      <c r="D79" t="s">
        <v>77</v>
      </c>
      <c r="E79" s="2">
        <v>7</v>
      </c>
      <c r="F79">
        <v>93</v>
      </c>
      <c r="G79">
        <f>42.71-(0.42*AuctionValueTable[[#This Row],[Overall Rank]])</f>
        <v>9.9500000000000028</v>
      </c>
      <c r="H79" s="2">
        <f>AuctionValueTable[[#This Row],[Auction $]]-G79</f>
        <v>-2.9500000000000028</v>
      </c>
      <c r="I79" t="s">
        <v>19</v>
      </c>
      <c r="J79" t="s">
        <v>145</v>
      </c>
    </row>
    <row r="80" spans="1:10">
      <c r="A80">
        <v>79</v>
      </c>
      <c r="B80" t="s">
        <v>186</v>
      </c>
      <c r="C80" t="s">
        <v>187</v>
      </c>
      <c r="D80" t="s">
        <v>62</v>
      </c>
      <c r="E80" s="2">
        <v>13</v>
      </c>
      <c r="F80">
        <v>67</v>
      </c>
      <c r="G80">
        <f>42.71-(0.42*AuctionValueTable[[#This Row],[Overall Rank]])</f>
        <v>9.5300000000000011</v>
      </c>
      <c r="H80" s="2">
        <f>AuctionValueTable[[#This Row],[Auction $]]-G80</f>
        <v>3.4699999999999989</v>
      </c>
      <c r="I80" t="s">
        <v>31</v>
      </c>
      <c r="J80" t="s">
        <v>100</v>
      </c>
    </row>
    <row r="81" spans="1:10">
      <c r="A81">
        <v>80</v>
      </c>
      <c r="B81" t="s">
        <v>188</v>
      </c>
      <c r="C81" t="s">
        <v>189</v>
      </c>
      <c r="D81" t="s">
        <v>12</v>
      </c>
      <c r="E81" s="2">
        <v>7</v>
      </c>
      <c r="F81">
        <v>93</v>
      </c>
      <c r="G81">
        <f>42.71-(0.42*AuctionValueTable[[#This Row],[Overall Rank]])</f>
        <v>9.11</v>
      </c>
      <c r="H81" s="2">
        <f>AuctionValueTable[[#This Row],[Auction $]]-G81</f>
        <v>-2.1099999999999994</v>
      </c>
      <c r="I81" t="s">
        <v>24</v>
      </c>
      <c r="J81" t="s">
        <v>145</v>
      </c>
    </row>
    <row r="82" spans="1:10">
      <c r="A82">
        <v>81</v>
      </c>
      <c r="B82" t="s">
        <v>190</v>
      </c>
      <c r="C82" t="s">
        <v>191</v>
      </c>
      <c r="D82" t="s">
        <v>77</v>
      </c>
      <c r="E82" s="2">
        <v>5</v>
      </c>
      <c r="F82">
        <v>107</v>
      </c>
      <c r="G82">
        <f>42.71-(0.42*AuctionValueTable[[#This Row],[Overall Rank]])</f>
        <v>8.6900000000000048</v>
      </c>
      <c r="H82" s="2">
        <f>AuctionValueTable[[#This Row],[Auction $]]-G82</f>
        <v>-3.6900000000000048</v>
      </c>
      <c r="I82" t="s">
        <v>19</v>
      </c>
      <c r="J82" t="s">
        <v>145</v>
      </c>
    </row>
    <row r="83" spans="1:10">
      <c r="A83">
        <v>82</v>
      </c>
      <c r="B83" t="s">
        <v>192</v>
      </c>
      <c r="C83" t="s">
        <v>193</v>
      </c>
      <c r="D83" t="s">
        <v>12</v>
      </c>
      <c r="E83" s="2">
        <v>8</v>
      </c>
      <c r="F83">
        <v>88</v>
      </c>
      <c r="G83">
        <f>42.71-(0.42*AuctionValueTable[[#This Row],[Overall Rank]])</f>
        <v>8.2700000000000031</v>
      </c>
      <c r="H83" s="2">
        <f>AuctionValueTable[[#This Row],[Auction $]]-G83</f>
        <v>-0.27000000000000313</v>
      </c>
      <c r="I83" t="s">
        <v>24</v>
      </c>
      <c r="J83" t="s">
        <v>145</v>
      </c>
    </row>
    <row r="84" spans="1:10">
      <c r="A84">
        <v>83</v>
      </c>
      <c r="B84" t="s">
        <v>194</v>
      </c>
      <c r="C84" t="s">
        <v>195</v>
      </c>
      <c r="D84" t="s">
        <v>62</v>
      </c>
      <c r="E84" s="2">
        <v>14</v>
      </c>
      <c r="F84">
        <v>63</v>
      </c>
      <c r="G84">
        <f>42.71-(0.42*AuctionValueTable[[#This Row],[Overall Rank]])</f>
        <v>7.8500000000000014</v>
      </c>
      <c r="H84" s="2">
        <f>AuctionValueTable[[#This Row],[Auction $]]-G84</f>
        <v>6.1499999999999986</v>
      </c>
      <c r="I84" t="s">
        <v>35</v>
      </c>
      <c r="J84" t="s">
        <v>100</v>
      </c>
    </row>
    <row r="85" spans="1:10">
      <c r="A85">
        <v>84</v>
      </c>
      <c r="B85" t="s">
        <v>196</v>
      </c>
      <c r="C85" t="s">
        <v>197</v>
      </c>
      <c r="D85" t="s">
        <v>22</v>
      </c>
      <c r="E85" s="2">
        <v>13</v>
      </c>
      <c r="F85">
        <v>67</v>
      </c>
      <c r="G85">
        <f>42.71-(0.42*AuctionValueTable[[#This Row],[Overall Rank]])</f>
        <v>7.43</v>
      </c>
      <c r="H85" s="2">
        <f>AuctionValueTable[[#This Row],[Auction $]]-G85</f>
        <v>5.57</v>
      </c>
      <c r="I85" t="s">
        <v>35</v>
      </c>
      <c r="J85" t="s">
        <v>100</v>
      </c>
    </row>
    <row r="86" spans="1:10">
      <c r="A86">
        <v>85</v>
      </c>
      <c r="B86" t="s">
        <v>198</v>
      </c>
      <c r="C86" t="s">
        <v>199</v>
      </c>
      <c r="D86" t="s">
        <v>22</v>
      </c>
      <c r="E86" s="2">
        <v>6</v>
      </c>
      <c r="F86">
        <v>102</v>
      </c>
      <c r="G86">
        <f>42.71-(0.42*AuctionValueTable[[#This Row],[Overall Rank]])</f>
        <v>7.0100000000000051</v>
      </c>
      <c r="H86" s="2">
        <f>AuctionValueTable[[#This Row],[Auction $]]-G86</f>
        <v>-1.0100000000000051</v>
      </c>
      <c r="I86" t="s">
        <v>19</v>
      </c>
      <c r="J86" t="s">
        <v>145</v>
      </c>
    </row>
    <row r="87" spans="1:10">
      <c r="A87">
        <v>86</v>
      </c>
      <c r="B87" t="s">
        <v>200</v>
      </c>
      <c r="C87" t="s">
        <v>201</v>
      </c>
      <c r="D87" t="s">
        <v>22</v>
      </c>
      <c r="E87" s="2">
        <v>4</v>
      </c>
      <c r="F87">
        <v>114</v>
      </c>
      <c r="G87">
        <f>42.71-(0.42*AuctionValueTable[[#This Row],[Overall Rank]])</f>
        <v>6.5900000000000034</v>
      </c>
      <c r="H87" s="2">
        <f>AuctionValueTable[[#This Row],[Auction $]]-G87</f>
        <v>-2.5900000000000034</v>
      </c>
      <c r="I87" t="s">
        <v>19</v>
      </c>
      <c r="J87" t="s">
        <v>145</v>
      </c>
    </row>
    <row r="88" spans="1:10">
      <c r="A88">
        <v>87</v>
      </c>
      <c r="B88" t="s">
        <v>202</v>
      </c>
      <c r="C88" t="s">
        <v>203</v>
      </c>
      <c r="D88" t="s">
        <v>62</v>
      </c>
      <c r="E88" s="2">
        <v>12</v>
      </c>
      <c r="F88">
        <v>76</v>
      </c>
      <c r="G88">
        <f>42.71-(0.42*AuctionValueTable[[#This Row],[Overall Rank]])</f>
        <v>6.1700000000000017</v>
      </c>
      <c r="H88" s="2">
        <f>AuctionValueTable[[#This Row],[Auction $]]-G88</f>
        <v>5.8299999999999983</v>
      </c>
      <c r="I88" t="s">
        <v>31</v>
      </c>
      <c r="J88" t="s">
        <v>100</v>
      </c>
    </row>
    <row r="89" spans="1:10">
      <c r="A89">
        <v>88</v>
      </c>
      <c r="B89" t="s">
        <v>204</v>
      </c>
      <c r="C89" t="s">
        <v>205</v>
      </c>
      <c r="D89" t="s">
        <v>22</v>
      </c>
      <c r="E89" s="2">
        <v>4</v>
      </c>
      <c r="F89">
        <v>114</v>
      </c>
      <c r="G89">
        <f>42.71-(0.42*AuctionValueTable[[#This Row],[Overall Rank]])</f>
        <v>5.75</v>
      </c>
      <c r="H89" s="2">
        <f>AuctionValueTable[[#This Row],[Auction $]]-G89</f>
        <v>-1.75</v>
      </c>
      <c r="I89" t="s">
        <v>19</v>
      </c>
      <c r="J89" t="s">
        <v>145</v>
      </c>
    </row>
    <row r="90" spans="1:10">
      <c r="A90">
        <v>89</v>
      </c>
      <c r="B90" t="s">
        <v>206</v>
      </c>
      <c r="C90" t="s">
        <v>207</v>
      </c>
      <c r="D90" t="s">
        <v>12</v>
      </c>
      <c r="E90" s="2">
        <v>12</v>
      </c>
      <c r="F90">
        <v>76</v>
      </c>
      <c r="G90">
        <f>42.71-(0.42*AuctionValueTable[[#This Row],[Overall Rank]])</f>
        <v>5.3300000000000054</v>
      </c>
      <c r="H90" s="2">
        <f>AuctionValueTable[[#This Row],[Auction $]]-G90</f>
        <v>6.6699999999999946</v>
      </c>
      <c r="I90" t="s">
        <v>31</v>
      </c>
      <c r="J90" t="s">
        <v>100</v>
      </c>
    </row>
    <row r="91" spans="1:10">
      <c r="A91">
        <v>90</v>
      </c>
      <c r="B91" t="s">
        <v>208</v>
      </c>
      <c r="C91" t="s">
        <v>209</v>
      </c>
      <c r="D91" t="s">
        <v>22</v>
      </c>
      <c r="E91" s="2">
        <v>2</v>
      </c>
      <c r="F91">
        <v>132</v>
      </c>
      <c r="G91">
        <f>42.71-(0.42*AuctionValueTable[[#This Row],[Overall Rank]])</f>
        <v>4.9100000000000037</v>
      </c>
      <c r="H91" s="2">
        <f>AuctionValueTable[[#This Row],[Auction $]]-G91</f>
        <v>-2.9100000000000037</v>
      </c>
      <c r="I91" t="s">
        <v>19</v>
      </c>
      <c r="J91" t="s">
        <v>145</v>
      </c>
    </row>
    <row r="92" spans="1:10">
      <c r="A92">
        <v>91</v>
      </c>
      <c r="B92" t="s">
        <v>210</v>
      </c>
      <c r="C92" t="s">
        <v>211</v>
      </c>
      <c r="D92" t="s">
        <v>12</v>
      </c>
      <c r="E92" s="2">
        <v>8</v>
      </c>
      <c r="F92">
        <v>88</v>
      </c>
      <c r="G92">
        <f>42.71-(0.42*AuctionValueTable[[#This Row],[Overall Rank]])</f>
        <v>4.490000000000002</v>
      </c>
      <c r="H92" s="2">
        <f>AuctionValueTable[[#This Row],[Auction $]]-G92</f>
        <v>3.509999999999998</v>
      </c>
      <c r="I92" t="s">
        <v>13</v>
      </c>
      <c r="J92" t="s">
        <v>145</v>
      </c>
    </row>
    <row r="93" spans="1:10">
      <c r="A93">
        <v>92</v>
      </c>
      <c r="B93" t="s">
        <v>212</v>
      </c>
      <c r="C93" t="s">
        <v>213</v>
      </c>
      <c r="D93" t="s">
        <v>22</v>
      </c>
      <c r="E93" s="2">
        <v>5</v>
      </c>
      <c r="F93">
        <v>107</v>
      </c>
      <c r="G93">
        <f>42.71-(0.42*AuctionValueTable[[#This Row],[Overall Rank]])</f>
        <v>4.07</v>
      </c>
      <c r="H93" s="2">
        <f>AuctionValueTable[[#This Row],[Auction $]]-G93</f>
        <v>0.92999999999999972</v>
      </c>
      <c r="I93" t="s">
        <v>19</v>
      </c>
      <c r="J93" t="s">
        <v>145</v>
      </c>
    </row>
    <row r="94" spans="1:10">
      <c r="A94">
        <v>93</v>
      </c>
      <c r="B94" t="s">
        <v>214</v>
      </c>
      <c r="C94" t="s">
        <v>215</v>
      </c>
      <c r="D94" t="s">
        <v>22</v>
      </c>
      <c r="E94" s="2">
        <v>2</v>
      </c>
      <c r="F94">
        <v>132</v>
      </c>
      <c r="G94">
        <f>42.71-(0.42*AuctionValueTable[[#This Row],[Overall Rank]])</f>
        <v>3.6500000000000057</v>
      </c>
      <c r="H94" s="2">
        <f>AuctionValueTable[[#This Row],[Auction $]]-G94</f>
        <v>-1.6500000000000057</v>
      </c>
      <c r="I94" t="s">
        <v>19</v>
      </c>
      <c r="J94" t="s">
        <v>145</v>
      </c>
    </row>
    <row r="95" spans="1:10">
      <c r="A95">
        <v>94</v>
      </c>
      <c r="B95" t="s">
        <v>216</v>
      </c>
      <c r="C95" t="s">
        <v>217</v>
      </c>
      <c r="D95" t="s">
        <v>12</v>
      </c>
      <c r="E95" s="2">
        <v>11</v>
      </c>
      <c r="F95">
        <v>78</v>
      </c>
      <c r="G95">
        <f>42.71-(0.42*AuctionValueTable[[#This Row],[Overall Rank]])</f>
        <v>3.230000000000004</v>
      </c>
      <c r="H95" s="2">
        <f>AuctionValueTable[[#This Row],[Auction $]]-G95</f>
        <v>7.769999999999996</v>
      </c>
      <c r="I95" t="s">
        <v>35</v>
      </c>
      <c r="J95" t="s">
        <v>100</v>
      </c>
    </row>
    <row r="96" spans="1:10">
      <c r="A96">
        <v>95</v>
      </c>
      <c r="B96" t="s">
        <v>218</v>
      </c>
      <c r="C96" t="s">
        <v>219</v>
      </c>
      <c r="D96" t="s">
        <v>22</v>
      </c>
      <c r="E96" s="2">
        <v>18</v>
      </c>
      <c r="F96">
        <v>50</v>
      </c>
      <c r="G96">
        <f>42.71-(0.42*AuctionValueTable[[#This Row],[Overall Rank]])</f>
        <v>2.8100000000000023</v>
      </c>
      <c r="H96" s="2">
        <f>AuctionValueTable[[#This Row],[Auction $]]-G96</f>
        <v>15.189999999999998</v>
      </c>
      <c r="I96" t="s">
        <v>35</v>
      </c>
      <c r="J96" t="s">
        <v>100</v>
      </c>
    </row>
    <row r="97" spans="1:10">
      <c r="A97">
        <v>96</v>
      </c>
      <c r="B97" t="s">
        <v>220</v>
      </c>
      <c r="C97" t="s">
        <v>221</v>
      </c>
      <c r="D97" t="s">
        <v>12</v>
      </c>
      <c r="E97" s="2">
        <v>7</v>
      </c>
      <c r="F97">
        <v>93</v>
      </c>
      <c r="G97">
        <f>42.71-(0.42*AuctionValueTable[[#This Row],[Overall Rank]])</f>
        <v>2.3900000000000006</v>
      </c>
      <c r="H97" s="2">
        <f>AuctionValueTable[[#This Row],[Auction $]]-G97</f>
        <v>4.6099999999999994</v>
      </c>
      <c r="I97" t="s">
        <v>13</v>
      </c>
      <c r="J97" t="s">
        <v>145</v>
      </c>
    </row>
    <row r="98" spans="1:10">
      <c r="A98">
        <v>97</v>
      </c>
      <c r="B98" t="s">
        <v>222</v>
      </c>
      <c r="C98" t="s">
        <v>223</v>
      </c>
      <c r="D98" t="s">
        <v>22</v>
      </c>
      <c r="E98" s="2">
        <v>4</v>
      </c>
      <c r="F98">
        <v>114</v>
      </c>
      <c r="G98">
        <f>42.71-(0.42*AuctionValueTable[[#This Row],[Overall Rank]])</f>
        <v>1.9699999999999989</v>
      </c>
      <c r="H98" s="2">
        <f>AuctionValueTable[[#This Row],[Auction $]]-G98</f>
        <v>2.0300000000000011</v>
      </c>
      <c r="I98" t="s">
        <v>19</v>
      </c>
      <c r="J98" t="s">
        <v>145</v>
      </c>
    </row>
    <row r="99" spans="1:10">
      <c r="A99">
        <v>98</v>
      </c>
      <c r="B99" t="s">
        <v>224</v>
      </c>
      <c r="C99" t="s">
        <v>225</v>
      </c>
      <c r="D99" t="s">
        <v>77</v>
      </c>
      <c r="E99" s="2">
        <v>4</v>
      </c>
      <c r="F99">
        <v>114</v>
      </c>
      <c r="G99">
        <f>42.71-(0.42*AuctionValueTable[[#This Row],[Overall Rank]])</f>
        <v>1.5500000000000043</v>
      </c>
      <c r="H99" s="2">
        <f>AuctionValueTable[[#This Row],[Auction $]]-G99</f>
        <v>2.4499999999999957</v>
      </c>
      <c r="I99" t="s">
        <v>19</v>
      </c>
      <c r="J99" t="s">
        <v>145</v>
      </c>
    </row>
    <row r="100" spans="1:10">
      <c r="A100">
        <v>99</v>
      </c>
      <c r="B100" t="s">
        <v>226</v>
      </c>
      <c r="C100" t="s">
        <v>227</v>
      </c>
      <c r="D100" t="s">
        <v>77</v>
      </c>
      <c r="E100" s="2">
        <v>9</v>
      </c>
      <c r="F100">
        <v>81</v>
      </c>
      <c r="G100">
        <f>42.71-(0.42*AuctionValueTable[[#This Row],[Overall Rank]])</f>
        <v>1.1300000000000026</v>
      </c>
      <c r="H100" s="2">
        <f>AuctionValueTable[[#This Row],[Auction $]]-G100</f>
        <v>7.8699999999999974</v>
      </c>
      <c r="I100" t="s">
        <v>35</v>
      </c>
      <c r="J100" t="s">
        <v>145</v>
      </c>
    </row>
    <row r="101" spans="1:10">
      <c r="A101">
        <v>100</v>
      </c>
      <c r="B101" t="s">
        <v>228</v>
      </c>
      <c r="C101" t="s">
        <v>229</v>
      </c>
      <c r="D101" t="s">
        <v>77</v>
      </c>
      <c r="E101" s="2">
        <v>7</v>
      </c>
      <c r="F101">
        <v>93</v>
      </c>
      <c r="G101">
        <f>42.71-(0.42*AuctionValueTable[[#This Row],[Overall Rank]])</f>
        <v>0.71000000000000085</v>
      </c>
      <c r="H101" s="2">
        <f>AuctionValueTable[[#This Row],[Auction $]]-G101</f>
        <v>6.2899999999999991</v>
      </c>
      <c r="I101" t="s">
        <v>31</v>
      </c>
      <c r="J101" t="s">
        <v>145</v>
      </c>
    </row>
    <row r="102" spans="1:10">
      <c r="A102">
        <v>101</v>
      </c>
      <c r="B102" t="s">
        <v>230</v>
      </c>
      <c r="C102" t="s">
        <v>231</v>
      </c>
      <c r="D102" t="s">
        <v>12</v>
      </c>
      <c r="E102" s="2">
        <v>13</v>
      </c>
      <c r="F102">
        <v>67</v>
      </c>
      <c r="G102">
        <f>42.71-(0.42*AuctionValueTable[[#This Row],[Overall Rank]])</f>
        <v>0.28999999999999915</v>
      </c>
      <c r="H102" s="2">
        <f>AuctionValueTable[[#This Row],[Auction $]]-G102</f>
        <v>12.71</v>
      </c>
      <c r="I102" t="s">
        <v>35</v>
      </c>
      <c r="J102" t="s">
        <v>100</v>
      </c>
    </row>
    <row r="103" spans="1:10">
      <c r="A103">
        <v>102</v>
      </c>
      <c r="B103" t="s">
        <v>232</v>
      </c>
      <c r="C103" t="s">
        <v>233</v>
      </c>
      <c r="D103" t="s">
        <v>12</v>
      </c>
      <c r="E103" s="2">
        <v>7</v>
      </c>
      <c r="F103">
        <v>93</v>
      </c>
      <c r="G103">
        <f>42.71-(0.42*AuctionValueTable[[#This Row],[Overall Rank]])</f>
        <v>-0.12999999999999545</v>
      </c>
      <c r="H103" s="2">
        <f>AuctionValueTable[[#This Row],[Auction $]]-G103</f>
        <v>7.1299999999999955</v>
      </c>
      <c r="I103" t="s">
        <v>31</v>
      </c>
      <c r="J103" t="s">
        <v>145</v>
      </c>
    </row>
    <row r="104" spans="1:10">
      <c r="A104">
        <v>103</v>
      </c>
      <c r="B104" t="s">
        <v>234</v>
      </c>
      <c r="C104" t="s">
        <v>235</v>
      </c>
      <c r="D104" t="s">
        <v>12</v>
      </c>
      <c r="E104" s="2">
        <v>9</v>
      </c>
      <c r="F104">
        <v>81</v>
      </c>
      <c r="G104">
        <f>42.71-(0.42*AuctionValueTable[[#This Row],[Overall Rank]])</f>
        <v>-0.54999999999999716</v>
      </c>
      <c r="H104" s="2">
        <f>AuctionValueTable[[#This Row],[Auction $]]-G104</f>
        <v>9.5499999999999972</v>
      </c>
      <c r="I104" t="s">
        <v>35</v>
      </c>
      <c r="J104" t="s">
        <v>145</v>
      </c>
    </row>
    <row r="105" spans="1:10">
      <c r="A105">
        <v>104</v>
      </c>
      <c r="B105" t="s">
        <v>236</v>
      </c>
      <c r="C105" t="s">
        <v>237</v>
      </c>
      <c r="D105" t="s">
        <v>77</v>
      </c>
      <c r="E105" s="2">
        <v>3</v>
      </c>
      <c r="F105">
        <v>126</v>
      </c>
      <c r="G105">
        <f>42.71-(0.42*AuctionValueTable[[#This Row],[Overall Rank]])</f>
        <v>-0.96999999999999886</v>
      </c>
      <c r="H105" s="2">
        <f>AuctionValueTable[[#This Row],[Auction $]]-G105</f>
        <v>3.9699999999999989</v>
      </c>
      <c r="I105" t="s">
        <v>19</v>
      </c>
      <c r="J105" t="s">
        <v>145</v>
      </c>
    </row>
    <row r="106" spans="1:10">
      <c r="A106">
        <v>105</v>
      </c>
      <c r="B106" t="s">
        <v>238</v>
      </c>
      <c r="C106" t="s">
        <v>239</v>
      </c>
      <c r="D106" t="s">
        <v>77</v>
      </c>
      <c r="E106" s="2">
        <v>8</v>
      </c>
      <c r="F106">
        <v>88</v>
      </c>
      <c r="G106">
        <f>42.71-(0.42*AuctionValueTable[[#This Row],[Overall Rank]])</f>
        <v>-1.3900000000000006</v>
      </c>
      <c r="H106" s="2">
        <f>AuctionValueTable[[#This Row],[Auction $]]-G106</f>
        <v>9.39</v>
      </c>
      <c r="I106" t="s">
        <v>35</v>
      </c>
      <c r="J106" t="s">
        <v>145</v>
      </c>
    </row>
    <row r="107" spans="1:10">
      <c r="A107">
        <v>106</v>
      </c>
      <c r="B107" t="s">
        <v>240</v>
      </c>
      <c r="C107" t="s">
        <v>241</v>
      </c>
      <c r="D107" t="s">
        <v>22</v>
      </c>
      <c r="E107" s="2">
        <v>2</v>
      </c>
      <c r="F107">
        <v>132</v>
      </c>
      <c r="G107">
        <f>42.71-(0.42*AuctionValueTable[[#This Row],[Overall Rank]])</f>
        <v>-1.8099999999999952</v>
      </c>
      <c r="H107" s="2">
        <f>AuctionValueTable[[#This Row],[Auction $]]-G107</f>
        <v>3.8099999999999952</v>
      </c>
      <c r="I107" t="s">
        <v>19</v>
      </c>
      <c r="J107" t="s">
        <v>145</v>
      </c>
    </row>
    <row r="108" spans="1:10">
      <c r="A108">
        <v>107</v>
      </c>
      <c r="B108" t="s">
        <v>242</v>
      </c>
      <c r="C108" t="s">
        <v>243</v>
      </c>
      <c r="D108" t="s">
        <v>22</v>
      </c>
      <c r="E108" s="2">
        <v>6</v>
      </c>
      <c r="F108">
        <v>102</v>
      </c>
      <c r="G108">
        <f>42.71-(0.42*AuctionValueTable[[#This Row],[Overall Rank]])</f>
        <v>-2.2299999999999969</v>
      </c>
      <c r="H108" s="2">
        <f>AuctionValueTable[[#This Row],[Auction $]]-G108</f>
        <v>8.2299999999999969</v>
      </c>
      <c r="I108" t="s">
        <v>31</v>
      </c>
      <c r="J108" t="s">
        <v>145</v>
      </c>
    </row>
    <row r="109" spans="1:10">
      <c r="A109">
        <v>108</v>
      </c>
      <c r="B109" t="s">
        <v>244</v>
      </c>
      <c r="C109" t="s">
        <v>245</v>
      </c>
      <c r="D109" t="s">
        <v>62</v>
      </c>
      <c r="E109" s="2">
        <v>7</v>
      </c>
      <c r="F109">
        <v>93</v>
      </c>
      <c r="G109">
        <f>42.71-(0.42*AuctionValueTable[[#This Row],[Overall Rank]])</f>
        <v>-2.6499999999999986</v>
      </c>
      <c r="H109" s="2">
        <f>AuctionValueTable[[#This Row],[Auction $]]-G109</f>
        <v>9.6499999999999986</v>
      </c>
      <c r="I109" t="s">
        <v>35</v>
      </c>
      <c r="J109" t="s">
        <v>145</v>
      </c>
    </row>
    <row r="110" spans="1:10">
      <c r="A110">
        <v>109</v>
      </c>
      <c r="B110" t="s">
        <v>246</v>
      </c>
      <c r="C110" t="s">
        <v>247</v>
      </c>
      <c r="D110" t="s">
        <v>77</v>
      </c>
      <c r="E110" s="2">
        <v>5</v>
      </c>
      <c r="F110">
        <v>107</v>
      </c>
      <c r="G110">
        <f>42.71-(0.42*AuctionValueTable[[#This Row],[Overall Rank]])</f>
        <v>-3.0700000000000003</v>
      </c>
      <c r="H110" s="2">
        <f>AuctionValueTable[[#This Row],[Auction $]]-G110</f>
        <v>8.07</v>
      </c>
      <c r="I110" t="s">
        <v>13</v>
      </c>
      <c r="J110" t="s">
        <v>145</v>
      </c>
    </row>
    <row r="111" spans="1:10">
      <c r="A111">
        <v>110</v>
      </c>
      <c r="B111" t="s">
        <v>248</v>
      </c>
      <c r="C111" t="s">
        <v>249</v>
      </c>
      <c r="D111" t="s">
        <v>22</v>
      </c>
      <c r="E111" s="2">
        <v>1</v>
      </c>
      <c r="F111">
        <v>145</v>
      </c>
      <c r="G111">
        <f>42.71-(0.42*AuctionValueTable[[#This Row],[Overall Rank]])</f>
        <v>-3.4899999999999949</v>
      </c>
      <c r="H111" s="2">
        <f>AuctionValueTable[[#This Row],[Auction $]]-G111</f>
        <v>4.4899999999999949</v>
      </c>
      <c r="I111" t="s">
        <v>19</v>
      </c>
      <c r="J111" t="s">
        <v>145</v>
      </c>
    </row>
    <row r="112" spans="1:10">
      <c r="A112">
        <v>111</v>
      </c>
      <c r="B112" t="s">
        <v>250</v>
      </c>
      <c r="C112" t="s">
        <v>251</v>
      </c>
      <c r="D112" t="s">
        <v>62</v>
      </c>
      <c r="E112" s="2">
        <v>10</v>
      </c>
      <c r="F112">
        <v>80</v>
      </c>
      <c r="G112">
        <f>42.71-(0.42*AuctionValueTable[[#This Row],[Overall Rank]])</f>
        <v>-3.9099999999999966</v>
      </c>
      <c r="H112" s="2">
        <f>AuctionValueTable[[#This Row],[Auction $]]-G112</f>
        <v>13.909999999999997</v>
      </c>
      <c r="I112" t="s">
        <v>35</v>
      </c>
      <c r="J112" t="s">
        <v>145</v>
      </c>
    </row>
    <row r="113" spans="1:10">
      <c r="A113">
        <v>112</v>
      </c>
      <c r="B113" t="s">
        <v>252</v>
      </c>
      <c r="C113" t="s">
        <v>253</v>
      </c>
      <c r="D113" t="s">
        <v>12</v>
      </c>
      <c r="E113" s="2">
        <v>8</v>
      </c>
      <c r="F113">
        <v>88</v>
      </c>
      <c r="G113">
        <f>42.71-(0.42*AuctionValueTable[[#This Row],[Overall Rank]])</f>
        <v>-4.3299999999999983</v>
      </c>
      <c r="H113" s="2">
        <f>AuctionValueTable[[#This Row],[Auction $]]-G113</f>
        <v>12.329999999999998</v>
      </c>
      <c r="I113" t="s">
        <v>35</v>
      </c>
      <c r="J113" t="s">
        <v>145</v>
      </c>
    </row>
    <row r="114" spans="1:10">
      <c r="A114">
        <v>113</v>
      </c>
      <c r="B114" t="s">
        <v>254</v>
      </c>
      <c r="C114" t="s">
        <v>255</v>
      </c>
      <c r="D114" t="s">
        <v>12</v>
      </c>
      <c r="E114" s="2">
        <v>9</v>
      </c>
      <c r="F114">
        <v>81</v>
      </c>
      <c r="G114">
        <f>42.71-(0.42*AuctionValueTable[[#This Row],[Overall Rank]])</f>
        <v>-4.75</v>
      </c>
      <c r="H114" s="2">
        <f>AuctionValueTable[[#This Row],[Auction $]]-G114</f>
        <v>13.75</v>
      </c>
      <c r="I114" t="s">
        <v>35</v>
      </c>
      <c r="J114" t="s">
        <v>145</v>
      </c>
    </row>
    <row r="115" spans="1:10">
      <c r="A115">
        <v>114</v>
      </c>
      <c r="B115" t="s">
        <v>256</v>
      </c>
      <c r="C115" t="s">
        <v>257</v>
      </c>
      <c r="D115" t="s">
        <v>62</v>
      </c>
      <c r="E115" s="2">
        <v>9</v>
      </c>
      <c r="F115">
        <v>81</v>
      </c>
      <c r="G115">
        <f>42.71-(0.42*AuctionValueTable[[#This Row],[Overall Rank]])</f>
        <v>-5.1699999999999946</v>
      </c>
      <c r="H115" s="2">
        <f>AuctionValueTable[[#This Row],[Auction $]]-G115</f>
        <v>14.169999999999995</v>
      </c>
      <c r="I115" t="s">
        <v>35</v>
      </c>
      <c r="J115" t="s">
        <v>145</v>
      </c>
    </row>
    <row r="116" spans="1:10">
      <c r="A116">
        <v>115</v>
      </c>
      <c r="B116" t="s">
        <v>258</v>
      </c>
      <c r="C116" t="s">
        <v>259</v>
      </c>
      <c r="D116" t="s">
        <v>22</v>
      </c>
      <c r="E116" s="2">
        <v>5</v>
      </c>
      <c r="F116">
        <v>107</v>
      </c>
      <c r="G116">
        <f>42.71-(0.42*AuctionValueTable[[#This Row],[Overall Rank]])</f>
        <v>-5.5899999999999963</v>
      </c>
      <c r="H116" s="2">
        <f>AuctionValueTable[[#This Row],[Auction $]]-G116</f>
        <v>10.589999999999996</v>
      </c>
      <c r="I116" t="s">
        <v>31</v>
      </c>
      <c r="J116" t="s">
        <v>145</v>
      </c>
    </row>
    <row r="117" spans="1:10">
      <c r="A117">
        <v>116</v>
      </c>
      <c r="B117" t="s">
        <v>260</v>
      </c>
      <c r="C117" t="s">
        <v>261</v>
      </c>
      <c r="D117" t="s">
        <v>62</v>
      </c>
      <c r="E117" s="2">
        <v>7</v>
      </c>
      <c r="F117">
        <v>93</v>
      </c>
      <c r="G117">
        <f>42.71-(0.42*AuctionValueTable[[#This Row],[Overall Rank]])</f>
        <v>-6.009999999999998</v>
      </c>
      <c r="H117" s="2">
        <f>AuctionValueTable[[#This Row],[Auction $]]-G117</f>
        <v>13.009999999999998</v>
      </c>
      <c r="I117" t="s">
        <v>35</v>
      </c>
      <c r="J117" t="s">
        <v>145</v>
      </c>
    </row>
    <row r="118" spans="1:10">
      <c r="A118">
        <v>117</v>
      </c>
      <c r="B118" t="s">
        <v>262</v>
      </c>
      <c r="C118" t="s">
        <v>263</v>
      </c>
      <c r="D118" t="s">
        <v>22</v>
      </c>
      <c r="E118" s="2">
        <v>4</v>
      </c>
      <c r="F118">
        <v>114</v>
      </c>
      <c r="G118">
        <f>42.71-(0.42*AuctionValueTable[[#This Row],[Overall Rank]])</f>
        <v>-6.43</v>
      </c>
      <c r="H118" s="2">
        <f>AuctionValueTable[[#This Row],[Auction $]]-G118</f>
        <v>10.43</v>
      </c>
      <c r="I118" t="s">
        <v>13</v>
      </c>
      <c r="J118" t="s">
        <v>145</v>
      </c>
    </row>
    <row r="119" spans="1:10">
      <c r="A119">
        <v>118</v>
      </c>
      <c r="B119" t="s">
        <v>264</v>
      </c>
      <c r="C119" t="s">
        <v>265</v>
      </c>
      <c r="D119" t="s">
        <v>22</v>
      </c>
      <c r="E119" s="2">
        <v>5</v>
      </c>
      <c r="F119">
        <v>107</v>
      </c>
      <c r="G119">
        <f>42.71-(0.42*AuctionValueTable[[#This Row],[Overall Rank]])</f>
        <v>-6.8499999999999943</v>
      </c>
      <c r="H119" s="2">
        <f>AuctionValueTable[[#This Row],[Auction $]]-G119</f>
        <v>11.849999999999994</v>
      </c>
      <c r="I119" t="s">
        <v>31</v>
      </c>
      <c r="J119" t="s">
        <v>145</v>
      </c>
    </row>
    <row r="120" spans="1:10">
      <c r="A120">
        <v>119</v>
      </c>
      <c r="B120" t="s">
        <v>266</v>
      </c>
      <c r="C120" t="s">
        <v>267</v>
      </c>
      <c r="D120" t="s">
        <v>77</v>
      </c>
      <c r="E120" s="2">
        <v>1</v>
      </c>
      <c r="F120">
        <v>145</v>
      </c>
      <c r="G120">
        <f>42.71-(0.42*AuctionValueTable[[#This Row],[Overall Rank]])</f>
        <v>-7.269999999999996</v>
      </c>
      <c r="H120" s="2">
        <f>AuctionValueTable[[#This Row],[Auction $]]-G120</f>
        <v>8.269999999999996</v>
      </c>
      <c r="I120" t="s">
        <v>19</v>
      </c>
      <c r="J120" t="s">
        <v>145</v>
      </c>
    </row>
    <row r="121" spans="1:10">
      <c r="A121">
        <v>120</v>
      </c>
      <c r="B121" t="s">
        <v>268</v>
      </c>
      <c r="C121" t="s">
        <v>269</v>
      </c>
      <c r="D121" t="s">
        <v>77</v>
      </c>
      <c r="E121" s="2">
        <v>1</v>
      </c>
      <c r="F121">
        <v>145</v>
      </c>
      <c r="G121">
        <f>42.71-(0.42*AuctionValueTable[[#This Row],[Overall Rank]])</f>
        <v>-7.6899999999999977</v>
      </c>
      <c r="H121" s="2">
        <f>AuctionValueTable[[#This Row],[Auction $]]-G121</f>
        <v>8.6899999999999977</v>
      </c>
      <c r="I121" t="s">
        <v>19</v>
      </c>
      <c r="J121" t="s">
        <v>145</v>
      </c>
    </row>
    <row r="122" spans="1:10">
      <c r="A122">
        <v>121</v>
      </c>
      <c r="B122" t="s">
        <v>270</v>
      </c>
      <c r="C122" t="s">
        <v>271</v>
      </c>
      <c r="D122" t="s">
        <v>62</v>
      </c>
      <c r="E122" s="2">
        <v>13</v>
      </c>
      <c r="F122">
        <v>67</v>
      </c>
      <c r="G122">
        <f>42.71-(0.42*AuctionValueTable[[#This Row],[Overall Rank]])</f>
        <v>-8.11</v>
      </c>
      <c r="H122" s="2">
        <f>AuctionValueTable[[#This Row],[Auction $]]-G122</f>
        <v>21.11</v>
      </c>
      <c r="I122" t="s">
        <v>35</v>
      </c>
      <c r="J122" t="s">
        <v>100</v>
      </c>
    </row>
    <row r="123" spans="1:10">
      <c r="A123">
        <v>122</v>
      </c>
      <c r="B123" t="s">
        <v>272</v>
      </c>
      <c r="C123" t="s">
        <v>273</v>
      </c>
      <c r="D123" t="s">
        <v>77</v>
      </c>
      <c r="E123" s="2">
        <v>0</v>
      </c>
      <c r="F123">
        <v>153</v>
      </c>
      <c r="G123">
        <f>42.71-(0.42*AuctionValueTable[[#This Row],[Overall Rank]])</f>
        <v>-8.529999999999994</v>
      </c>
      <c r="H123" s="2">
        <f>AuctionValueTable[[#This Row],[Auction $]]-G123</f>
        <v>8.529999999999994</v>
      </c>
      <c r="I123" t="s">
        <v>19</v>
      </c>
      <c r="J123" t="s">
        <v>145</v>
      </c>
    </row>
    <row r="124" spans="1:10">
      <c r="A124">
        <v>123</v>
      </c>
      <c r="B124" t="s">
        <v>274</v>
      </c>
      <c r="C124" t="s">
        <v>275</v>
      </c>
      <c r="D124" t="s">
        <v>22</v>
      </c>
      <c r="E124" s="2">
        <v>2</v>
      </c>
      <c r="F124">
        <v>132</v>
      </c>
      <c r="G124">
        <f>42.71-(0.42*AuctionValueTable[[#This Row],[Overall Rank]])</f>
        <v>-8.9499999999999957</v>
      </c>
      <c r="H124" s="2">
        <f>AuctionValueTable[[#This Row],[Auction $]]-G124</f>
        <v>10.949999999999996</v>
      </c>
      <c r="I124" t="s">
        <v>24</v>
      </c>
      <c r="J124" t="s">
        <v>145</v>
      </c>
    </row>
    <row r="125" spans="1:10">
      <c r="A125">
        <v>124</v>
      </c>
      <c r="B125" t="s">
        <v>276</v>
      </c>
      <c r="C125" t="s">
        <v>277</v>
      </c>
      <c r="D125" t="s">
        <v>62</v>
      </c>
      <c r="E125" s="2">
        <v>4</v>
      </c>
      <c r="F125">
        <v>114</v>
      </c>
      <c r="G125">
        <f>42.71-(0.42*AuctionValueTable[[#This Row],[Overall Rank]])</f>
        <v>-9.3699999999999974</v>
      </c>
      <c r="H125" s="2">
        <f>AuctionValueTable[[#This Row],[Auction $]]-G125</f>
        <v>13.369999999999997</v>
      </c>
      <c r="I125" t="s">
        <v>31</v>
      </c>
      <c r="J125" t="s">
        <v>145</v>
      </c>
    </row>
    <row r="126" spans="1:10">
      <c r="A126">
        <v>125</v>
      </c>
      <c r="B126" t="s">
        <v>278</v>
      </c>
      <c r="C126" t="s">
        <v>279</v>
      </c>
      <c r="D126" t="s">
        <v>77</v>
      </c>
      <c r="E126" s="2">
        <v>2</v>
      </c>
      <c r="F126">
        <v>132</v>
      </c>
      <c r="G126">
        <f>42.71-(0.42*AuctionValueTable[[#This Row],[Overall Rank]])</f>
        <v>-9.7899999999999991</v>
      </c>
      <c r="H126" s="2">
        <f>AuctionValueTable[[#This Row],[Auction $]]-G126</f>
        <v>11.79</v>
      </c>
      <c r="I126" t="s">
        <v>24</v>
      </c>
      <c r="J126" t="s">
        <v>145</v>
      </c>
    </row>
    <row r="127" spans="1:10">
      <c r="A127">
        <v>126</v>
      </c>
      <c r="B127" t="s">
        <v>280</v>
      </c>
      <c r="C127" t="s">
        <v>281</v>
      </c>
      <c r="D127" t="s">
        <v>22</v>
      </c>
      <c r="E127" s="2">
        <v>0</v>
      </c>
      <c r="F127">
        <v>153</v>
      </c>
      <c r="G127">
        <f>42.71-(0.42*AuctionValueTable[[#This Row],[Overall Rank]])</f>
        <v>-10.209999999999994</v>
      </c>
      <c r="H127" s="2">
        <f>AuctionValueTable[[#This Row],[Auction $]]-G127</f>
        <v>10.209999999999994</v>
      </c>
      <c r="I127" t="s">
        <v>19</v>
      </c>
      <c r="J127" t="s">
        <v>145</v>
      </c>
    </row>
    <row r="128" spans="1:10">
      <c r="A128">
        <v>127</v>
      </c>
      <c r="B128" t="s">
        <v>282</v>
      </c>
      <c r="C128" t="s">
        <v>283</v>
      </c>
      <c r="D128" t="s">
        <v>62</v>
      </c>
      <c r="E128" s="2">
        <v>7</v>
      </c>
      <c r="F128">
        <v>93</v>
      </c>
      <c r="G128">
        <f>42.71-(0.42*AuctionValueTable[[#This Row],[Overall Rank]])</f>
        <v>-10.629999999999995</v>
      </c>
      <c r="H128" s="2">
        <f>AuctionValueTable[[#This Row],[Auction $]]-G128</f>
        <v>17.629999999999995</v>
      </c>
      <c r="I128" t="s">
        <v>35</v>
      </c>
      <c r="J128" t="s">
        <v>145</v>
      </c>
    </row>
    <row r="129" spans="1:10">
      <c r="A129">
        <v>128</v>
      </c>
      <c r="B129" t="s">
        <v>284</v>
      </c>
      <c r="C129" t="s">
        <v>285</v>
      </c>
      <c r="D129" t="s">
        <v>22</v>
      </c>
      <c r="E129" s="2">
        <v>6</v>
      </c>
      <c r="F129">
        <v>102</v>
      </c>
      <c r="G129">
        <f>42.71-(0.42*AuctionValueTable[[#This Row],[Overall Rank]])</f>
        <v>-11.049999999999997</v>
      </c>
      <c r="H129" s="2">
        <f>AuctionValueTable[[#This Row],[Auction $]]-G129</f>
        <v>17.049999999999997</v>
      </c>
      <c r="I129" t="s">
        <v>35</v>
      </c>
      <c r="J129" t="s">
        <v>145</v>
      </c>
    </row>
    <row r="130" spans="1:10">
      <c r="A130">
        <v>129</v>
      </c>
      <c r="B130" t="s">
        <v>286</v>
      </c>
      <c r="C130" t="s">
        <v>287</v>
      </c>
      <c r="D130" t="s">
        <v>22</v>
      </c>
      <c r="E130" s="2">
        <v>2</v>
      </c>
      <c r="F130">
        <v>132</v>
      </c>
      <c r="G130">
        <f>42.71-(0.42*AuctionValueTable[[#This Row],[Overall Rank]])</f>
        <v>-11.469999999999999</v>
      </c>
      <c r="H130" s="2">
        <f>AuctionValueTable[[#This Row],[Auction $]]-G130</f>
        <v>13.469999999999999</v>
      </c>
      <c r="I130" t="s">
        <v>13</v>
      </c>
      <c r="J130" t="s">
        <v>145</v>
      </c>
    </row>
    <row r="131" spans="1:10">
      <c r="A131">
        <v>130</v>
      </c>
      <c r="B131" t="s">
        <v>288</v>
      </c>
      <c r="C131" t="s">
        <v>289</v>
      </c>
      <c r="D131" t="s">
        <v>12</v>
      </c>
      <c r="E131" s="2">
        <v>7</v>
      </c>
      <c r="F131">
        <v>93</v>
      </c>
      <c r="G131">
        <f>42.71-(0.42*AuctionValueTable[[#This Row],[Overall Rank]])</f>
        <v>-11.89</v>
      </c>
      <c r="H131" s="2">
        <f>AuctionValueTable[[#This Row],[Auction $]]-G131</f>
        <v>18.89</v>
      </c>
      <c r="I131" t="s">
        <v>35</v>
      </c>
      <c r="J131" t="s">
        <v>145</v>
      </c>
    </row>
    <row r="132" spans="1:10">
      <c r="A132">
        <v>131</v>
      </c>
      <c r="B132" t="s">
        <v>290</v>
      </c>
      <c r="C132" t="s">
        <v>291</v>
      </c>
      <c r="D132" t="s">
        <v>12</v>
      </c>
      <c r="E132" s="2">
        <v>4</v>
      </c>
      <c r="F132">
        <v>114</v>
      </c>
      <c r="G132">
        <f>42.71-(0.42*AuctionValueTable[[#This Row],[Overall Rank]])</f>
        <v>-12.309999999999995</v>
      </c>
      <c r="H132" s="2">
        <f>AuctionValueTable[[#This Row],[Auction $]]-G132</f>
        <v>16.309999999999995</v>
      </c>
      <c r="I132" t="s">
        <v>35</v>
      </c>
      <c r="J132" t="s">
        <v>145</v>
      </c>
    </row>
    <row r="133" spans="1:10">
      <c r="A133">
        <v>132</v>
      </c>
      <c r="B133" t="s">
        <v>292</v>
      </c>
      <c r="C133" t="s">
        <v>293</v>
      </c>
      <c r="D133" t="s">
        <v>22</v>
      </c>
      <c r="E133" s="2">
        <v>1</v>
      </c>
      <c r="F133">
        <v>145</v>
      </c>
      <c r="G133">
        <f>42.71-(0.42*AuctionValueTable[[#This Row],[Overall Rank]])</f>
        <v>-12.729999999999997</v>
      </c>
      <c r="H133" s="2">
        <f>AuctionValueTable[[#This Row],[Auction $]]-G133</f>
        <v>13.729999999999997</v>
      </c>
      <c r="I133" t="s">
        <v>24</v>
      </c>
      <c r="J133" t="s">
        <v>145</v>
      </c>
    </row>
    <row r="134" spans="1:10">
      <c r="A134">
        <v>133</v>
      </c>
      <c r="B134" t="s">
        <v>294</v>
      </c>
      <c r="C134" t="s">
        <v>295</v>
      </c>
      <c r="D134" t="s">
        <v>22</v>
      </c>
      <c r="E134" s="2">
        <v>3</v>
      </c>
      <c r="F134">
        <v>126</v>
      </c>
      <c r="G134">
        <f>42.71-(0.42*AuctionValueTable[[#This Row],[Overall Rank]])</f>
        <v>-13.149999999999999</v>
      </c>
      <c r="H134" s="2">
        <f>AuctionValueTable[[#This Row],[Auction $]]-G134</f>
        <v>16.149999999999999</v>
      </c>
      <c r="I134" t="s">
        <v>31</v>
      </c>
      <c r="J134" t="s">
        <v>145</v>
      </c>
    </row>
    <row r="135" spans="1:10">
      <c r="A135">
        <v>134</v>
      </c>
      <c r="B135" t="s">
        <v>296</v>
      </c>
      <c r="C135" t="s">
        <v>297</v>
      </c>
      <c r="D135" t="s">
        <v>22</v>
      </c>
      <c r="E135" s="2">
        <v>0</v>
      </c>
      <c r="F135">
        <v>153</v>
      </c>
      <c r="G135">
        <f>42.71-(0.42*AuctionValueTable[[#This Row],[Overall Rank]])</f>
        <v>-13.57</v>
      </c>
      <c r="H135" s="2">
        <f>AuctionValueTable[[#This Row],[Auction $]]-G135</f>
        <v>13.57</v>
      </c>
      <c r="I135" t="s">
        <v>19</v>
      </c>
      <c r="J135" t="s">
        <v>145</v>
      </c>
    </row>
    <row r="136" spans="1:10">
      <c r="A136">
        <v>135</v>
      </c>
      <c r="B136" t="s">
        <v>298</v>
      </c>
      <c r="C136" t="s">
        <v>299</v>
      </c>
      <c r="D136" t="s">
        <v>12</v>
      </c>
      <c r="E136" s="2">
        <v>3</v>
      </c>
      <c r="F136">
        <v>126</v>
      </c>
      <c r="G136">
        <f>42.71-(0.42*AuctionValueTable[[#This Row],[Overall Rank]])</f>
        <v>-13.989999999999995</v>
      </c>
      <c r="H136" s="2">
        <f>AuctionValueTable[[#This Row],[Auction $]]-G136</f>
        <v>16.989999999999995</v>
      </c>
      <c r="I136" t="s">
        <v>31</v>
      </c>
      <c r="J136" t="s">
        <v>145</v>
      </c>
    </row>
    <row r="137" spans="1:10">
      <c r="A137">
        <v>136</v>
      </c>
      <c r="B137" t="s">
        <v>300</v>
      </c>
      <c r="C137" t="s">
        <v>301</v>
      </c>
      <c r="D137" t="s">
        <v>12</v>
      </c>
      <c r="E137" s="2">
        <v>1</v>
      </c>
      <c r="F137">
        <v>145</v>
      </c>
      <c r="G137">
        <f>42.71-(0.42*AuctionValueTable[[#This Row],[Overall Rank]])</f>
        <v>-14.409999999999997</v>
      </c>
      <c r="H137" s="2">
        <f>AuctionValueTable[[#This Row],[Auction $]]-G137</f>
        <v>15.409999999999997</v>
      </c>
      <c r="I137" t="s">
        <v>24</v>
      </c>
      <c r="J137" t="s">
        <v>145</v>
      </c>
    </row>
    <row r="138" spans="1:10">
      <c r="A138">
        <v>137</v>
      </c>
      <c r="B138" t="s">
        <v>302</v>
      </c>
      <c r="C138" t="s">
        <v>303</v>
      </c>
      <c r="D138" t="s">
        <v>77</v>
      </c>
      <c r="E138" s="2">
        <v>0</v>
      </c>
      <c r="F138">
        <v>153</v>
      </c>
      <c r="G138">
        <f>42.71-(0.42*AuctionValueTable[[#This Row],[Overall Rank]])</f>
        <v>-14.829999999999998</v>
      </c>
      <c r="H138" s="2">
        <f>AuctionValueTable[[#This Row],[Auction $]]-G138</f>
        <v>14.829999999999998</v>
      </c>
      <c r="I138" t="s">
        <v>19</v>
      </c>
      <c r="J138" t="s">
        <v>145</v>
      </c>
    </row>
    <row r="139" spans="1:10">
      <c r="A139">
        <v>138</v>
      </c>
      <c r="B139" t="s">
        <v>304</v>
      </c>
      <c r="C139" t="s">
        <v>305</v>
      </c>
      <c r="D139" t="s">
        <v>12</v>
      </c>
      <c r="E139" s="2">
        <v>5</v>
      </c>
      <c r="F139">
        <v>107</v>
      </c>
      <c r="G139">
        <f>42.71-(0.42*AuctionValueTable[[#This Row],[Overall Rank]])</f>
        <v>-15.25</v>
      </c>
      <c r="H139" s="2">
        <f>AuctionValueTable[[#This Row],[Auction $]]-G139</f>
        <v>20.25</v>
      </c>
      <c r="I139" t="s">
        <v>35</v>
      </c>
      <c r="J139" t="s">
        <v>145</v>
      </c>
    </row>
    <row r="140" spans="1:10">
      <c r="A140">
        <v>139</v>
      </c>
      <c r="B140" t="s">
        <v>306</v>
      </c>
      <c r="C140" t="s">
        <v>307</v>
      </c>
      <c r="D140" t="s">
        <v>22</v>
      </c>
      <c r="E140" s="2">
        <v>0</v>
      </c>
      <c r="F140">
        <v>153</v>
      </c>
      <c r="G140">
        <f>42.71-(0.42*AuctionValueTable[[#This Row],[Overall Rank]])</f>
        <v>-15.669999999999995</v>
      </c>
      <c r="H140" s="2">
        <f>AuctionValueTable[[#This Row],[Auction $]]-G140</f>
        <v>15.669999999999995</v>
      </c>
      <c r="I140" t="s">
        <v>24</v>
      </c>
      <c r="J140" t="s">
        <v>145</v>
      </c>
    </row>
    <row r="141" spans="1:10">
      <c r="A141">
        <v>140</v>
      </c>
      <c r="B141" t="s">
        <v>308</v>
      </c>
      <c r="C141" t="s">
        <v>309</v>
      </c>
      <c r="D141" t="s">
        <v>62</v>
      </c>
      <c r="E141" s="2">
        <v>0</v>
      </c>
      <c r="F141">
        <v>153</v>
      </c>
      <c r="G141">
        <f>42.71-(0.42*AuctionValueTable[[#This Row],[Overall Rank]])</f>
        <v>-16.089999999999996</v>
      </c>
      <c r="H141" s="2">
        <f>AuctionValueTable[[#This Row],[Auction $]]-G141</f>
        <v>16.089999999999996</v>
      </c>
      <c r="I141" t="s">
        <v>24</v>
      </c>
      <c r="J141" t="s">
        <v>145</v>
      </c>
    </row>
    <row r="142" spans="1:10">
      <c r="A142">
        <v>141</v>
      </c>
      <c r="B142" t="s">
        <v>310</v>
      </c>
      <c r="C142" t="s">
        <v>311</v>
      </c>
      <c r="D142" t="s">
        <v>62</v>
      </c>
      <c r="E142" s="2">
        <v>2</v>
      </c>
      <c r="F142">
        <v>132</v>
      </c>
      <c r="G142">
        <f>42.71-(0.42*AuctionValueTable[[#This Row],[Overall Rank]])</f>
        <v>-16.509999999999998</v>
      </c>
      <c r="H142" s="2">
        <f>AuctionValueTable[[#This Row],[Auction $]]-G142</f>
        <v>18.509999999999998</v>
      </c>
      <c r="I142" t="s">
        <v>31</v>
      </c>
      <c r="J142" t="s">
        <v>145</v>
      </c>
    </row>
    <row r="143" spans="1:10">
      <c r="A143">
        <v>142</v>
      </c>
      <c r="B143" t="s">
        <v>312</v>
      </c>
      <c r="C143" t="s">
        <v>313</v>
      </c>
      <c r="D143" t="s">
        <v>77</v>
      </c>
      <c r="E143" s="2">
        <v>0</v>
      </c>
      <c r="F143">
        <v>153</v>
      </c>
      <c r="G143">
        <f>42.71-(0.42*AuctionValueTable[[#This Row],[Overall Rank]])</f>
        <v>-16.93</v>
      </c>
      <c r="H143" s="2">
        <f>AuctionValueTable[[#This Row],[Auction $]]-G143</f>
        <v>16.93</v>
      </c>
      <c r="I143" t="s">
        <v>24</v>
      </c>
      <c r="J143" t="s">
        <v>145</v>
      </c>
    </row>
    <row r="144" spans="1:10">
      <c r="A144">
        <v>143</v>
      </c>
      <c r="B144" t="s">
        <v>314</v>
      </c>
      <c r="C144" t="s">
        <v>315</v>
      </c>
      <c r="D144" t="s">
        <v>12</v>
      </c>
      <c r="E144" s="2">
        <v>2</v>
      </c>
      <c r="F144">
        <v>132</v>
      </c>
      <c r="G144">
        <f>42.71-(0.42*AuctionValueTable[[#This Row],[Overall Rank]])</f>
        <v>-17.349999999999994</v>
      </c>
      <c r="H144" s="2">
        <f>AuctionValueTable[[#This Row],[Auction $]]-G144</f>
        <v>19.349999999999994</v>
      </c>
      <c r="I144" t="s">
        <v>31</v>
      </c>
      <c r="J144" t="s">
        <v>145</v>
      </c>
    </row>
    <row r="145" spans="1:10">
      <c r="A145">
        <v>144</v>
      </c>
      <c r="B145" t="s">
        <v>316</v>
      </c>
      <c r="C145" t="s">
        <v>317</v>
      </c>
      <c r="D145" t="s">
        <v>62</v>
      </c>
      <c r="E145" s="2">
        <v>3</v>
      </c>
      <c r="F145">
        <v>126</v>
      </c>
      <c r="G145">
        <f>42.71-(0.42*AuctionValueTable[[#This Row],[Overall Rank]])</f>
        <v>-17.769999999999996</v>
      </c>
      <c r="H145" s="2">
        <f>AuctionValueTable[[#This Row],[Auction $]]-G145</f>
        <v>20.769999999999996</v>
      </c>
      <c r="I145" t="s">
        <v>35</v>
      </c>
      <c r="J145" t="s">
        <v>145</v>
      </c>
    </row>
    <row r="146" spans="1:10">
      <c r="A146">
        <v>145</v>
      </c>
      <c r="B146" t="s">
        <v>318</v>
      </c>
      <c r="C146" t="s">
        <v>319</v>
      </c>
      <c r="D146" t="s">
        <v>12</v>
      </c>
      <c r="E146" s="2">
        <v>5</v>
      </c>
      <c r="F146">
        <v>107</v>
      </c>
      <c r="G146">
        <f>42.71-(0.42*AuctionValueTable[[#This Row],[Overall Rank]])</f>
        <v>-18.189999999999998</v>
      </c>
      <c r="H146" s="2">
        <f>AuctionValueTable[[#This Row],[Auction $]]-G146</f>
        <v>23.189999999999998</v>
      </c>
      <c r="I146" t="s">
        <v>35</v>
      </c>
      <c r="J146" t="s">
        <v>145</v>
      </c>
    </row>
    <row r="147" spans="1:10">
      <c r="A147">
        <v>146</v>
      </c>
      <c r="B147" t="s">
        <v>320</v>
      </c>
      <c r="C147" t="s">
        <v>321</v>
      </c>
      <c r="D147" t="s">
        <v>22</v>
      </c>
      <c r="E147" s="2">
        <v>0</v>
      </c>
      <c r="F147">
        <v>153</v>
      </c>
      <c r="G147">
        <f>42.71-(0.42*AuctionValueTable[[#This Row],[Overall Rank]])</f>
        <v>-18.61</v>
      </c>
      <c r="H147" s="2">
        <f>AuctionValueTable[[#This Row],[Auction $]]-G147</f>
        <v>18.61</v>
      </c>
      <c r="I147" t="s">
        <v>24</v>
      </c>
      <c r="J147" t="s">
        <v>145</v>
      </c>
    </row>
    <row r="148" spans="1:10">
      <c r="A148">
        <v>147</v>
      </c>
      <c r="B148" t="s">
        <v>322</v>
      </c>
      <c r="C148" t="s">
        <v>323</v>
      </c>
      <c r="D148" t="s">
        <v>77</v>
      </c>
      <c r="E148" s="2">
        <v>0</v>
      </c>
      <c r="F148">
        <v>153</v>
      </c>
      <c r="G148">
        <f>42.71-(0.42*AuctionValueTable[[#This Row],[Overall Rank]])</f>
        <v>-19.029999999999994</v>
      </c>
      <c r="H148" s="2">
        <f>AuctionValueTable[[#This Row],[Auction $]]-G148</f>
        <v>19.029999999999994</v>
      </c>
      <c r="I148" t="s">
        <v>24</v>
      </c>
      <c r="J148" t="s">
        <v>145</v>
      </c>
    </row>
    <row r="149" spans="1:10">
      <c r="A149">
        <v>148</v>
      </c>
      <c r="B149" t="s">
        <v>324</v>
      </c>
      <c r="C149" t="s">
        <v>325</v>
      </c>
      <c r="D149" t="s">
        <v>77</v>
      </c>
      <c r="E149" s="2">
        <v>0</v>
      </c>
      <c r="F149">
        <v>153</v>
      </c>
      <c r="G149">
        <f>42.71-(0.42*AuctionValueTable[[#This Row],[Overall Rank]])</f>
        <v>-19.449999999999996</v>
      </c>
      <c r="H149" s="2">
        <f>AuctionValueTable[[#This Row],[Auction $]]-G149</f>
        <v>19.449999999999996</v>
      </c>
      <c r="I149" t="s">
        <v>24</v>
      </c>
      <c r="J149" t="s">
        <v>145</v>
      </c>
    </row>
    <row r="150" spans="1:10">
      <c r="A150">
        <v>149</v>
      </c>
      <c r="B150" t="s">
        <v>326</v>
      </c>
      <c r="C150" t="s">
        <v>327</v>
      </c>
      <c r="D150" t="s">
        <v>22</v>
      </c>
      <c r="E150" s="2">
        <v>0</v>
      </c>
      <c r="F150">
        <v>153</v>
      </c>
      <c r="G150">
        <f>42.71-(0.42*AuctionValueTable[[#This Row],[Overall Rank]])</f>
        <v>-19.869999999999997</v>
      </c>
      <c r="H150" s="2">
        <f>AuctionValueTable[[#This Row],[Auction $]]-G150</f>
        <v>19.869999999999997</v>
      </c>
      <c r="I150" t="s">
        <v>13</v>
      </c>
      <c r="J150" t="s">
        <v>145</v>
      </c>
    </row>
    <row r="151" spans="1:10">
      <c r="A151">
        <v>150</v>
      </c>
      <c r="B151" t="s">
        <v>328</v>
      </c>
      <c r="C151" t="s">
        <v>329</v>
      </c>
      <c r="D151" t="s">
        <v>77</v>
      </c>
      <c r="E151" s="2">
        <v>0</v>
      </c>
      <c r="F151">
        <v>153</v>
      </c>
      <c r="G151">
        <f>42.71-(0.42*AuctionValueTable[[#This Row],[Overall Rank]])</f>
        <v>-20.29</v>
      </c>
      <c r="H151" s="2">
        <f>AuctionValueTable[[#This Row],[Auction $]]-G151</f>
        <v>20.29</v>
      </c>
      <c r="I151" t="s">
        <v>13</v>
      </c>
      <c r="J151" t="s">
        <v>145</v>
      </c>
    </row>
    <row r="152" spans="1:10">
      <c r="A152">
        <v>151</v>
      </c>
      <c r="B152" t="s">
        <v>330</v>
      </c>
      <c r="C152" t="s">
        <v>331</v>
      </c>
      <c r="D152" t="s">
        <v>12</v>
      </c>
      <c r="E152" s="2">
        <v>4</v>
      </c>
      <c r="F152">
        <v>114</v>
      </c>
      <c r="G152">
        <f>42.71-(0.42*AuctionValueTable[[#This Row],[Overall Rank]])</f>
        <v>-20.709999999999994</v>
      </c>
      <c r="H152" s="2">
        <f>AuctionValueTable[[#This Row],[Auction $]]-G152</f>
        <v>24.709999999999994</v>
      </c>
      <c r="I152" t="s">
        <v>35</v>
      </c>
      <c r="J152" t="s">
        <v>145</v>
      </c>
    </row>
    <row r="153" spans="1:10">
      <c r="A153">
        <v>152</v>
      </c>
      <c r="B153" t="s">
        <v>332</v>
      </c>
      <c r="C153" t="s">
        <v>333</v>
      </c>
      <c r="D153" t="s">
        <v>12</v>
      </c>
      <c r="E153" s="2">
        <v>4</v>
      </c>
      <c r="F153">
        <v>114</v>
      </c>
      <c r="G153">
        <f>42.71-(0.42*AuctionValueTable[[#This Row],[Overall Rank]])</f>
        <v>-21.129999999999995</v>
      </c>
      <c r="H153" s="2">
        <f>AuctionValueTable[[#This Row],[Auction $]]-G153</f>
        <v>25.129999999999995</v>
      </c>
      <c r="I153" t="s">
        <v>35</v>
      </c>
      <c r="J153" t="s">
        <v>145</v>
      </c>
    </row>
    <row r="154" spans="1:10">
      <c r="A154">
        <v>153</v>
      </c>
      <c r="B154" t="s">
        <v>334</v>
      </c>
      <c r="C154" t="s">
        <v>335</v>
      </c>
      <c r="D154" t="s">
        <v>12</v>
      </c>
      <c r="E154" s="2"/>
      <c r="G154">
        <f>42.71-(0.42*AuctionValueTable[[#This Row],[Overall Rank]])</f>
        <v>-21.54999999999999</v>
      </c>
      <c r="I154" t="s">
        <v>336</v>
      </c>
    </row>
    <row r="155" spans="1:10">
      <c r="A155">
        <v>154</v>
      </c>
      <c r="B155" t="s">
        <v>337</v>
      </c>
      <c r="C155" t="s">
        <v>338</v>
      </c>
      <c r="D155" t="s">
        <v>62</v>
      </c>
      <c r="E155" s="2">
        <v>4</v>
      </c>
      <c r="F155">
        <v>114</v>
      </c>
      <c r="G155">
        <f>42.71-(0.42*AuctionValueTable[[#This Row],[Overall Rank]])</f>
        <v>-21.969999999999992</v>
      </c>
      <c r="H155">
        <v>-40</v>
      </c>
      <c r="I155" t="s">
        <v>35</v>
      </c>
      <c r="J155" t="s">
        <v>145</v>
      </c>
    </row>
    <row r="156" spans="1:10">
      <c r="A156">
        <v>155</v>
      </c>
      <c r="B156" t="s">
        <v>339</v>
      </c>
      <c r="C156" t="s">
        <v>340</v>
      </c>
      <c r="D156" t="s">
        <v>12</v>
      </c>
      <c r="E156" s="2">
        <v>2</v>
      </c>
      <c r="F156">
        <v>132</v>
      </c>
      <c r="G156">
        <f>42.71-(0.42*AuctionValueTable[[#This Row],[Overall Rank]])</f>
        <v>-22.389999999999993</v>
      </c>
      <c r="H156">
        <v>-23</v>
      </c>
      <c r="I156" t="s">
        <v>35</v>
      </c>
      <c r="J156" t="s">
        <v>145</v>
      </c>
    </row>
    <row r="157" spans="1:10">
      <c r="A157">
        <v>156</v>
      </c>
      <c r="B157" t="s">
        <v>341</v>
      </c>
      <c r="C157" t="s">
        <v>342</v>
      </c>
      <c r="D157" t="s">
        <v>22</v>
      </c>
      <c r="E157" s="2">
        <v>0</v>
      </c>
      <c r="F157">
        <v>153</v>
      </c>
      <c r="G157">
        <f>42.71-(0.42*AuctionValueTable[[#This Row],[Overall Rank]])</f>
        <v>-22.809999999999995</v>
      </c>
      <c r="H157">
        <v>-3</v>
      </c>
      <c r="I157" t="s">
        <v>13</v>
      </c>
      <c r="J157" t="s">
        <v>145</v>
      </c>
    </row>
    <row r="158" spans="1:10">
      <c r="A158">
        <v>157</v>
      </c>
      <c r="B158" t="s">
        <v>343</v>
      </c>
      <c r="C158" t="s">
        <v>344</v>
      </c>
      <c r="D158" t="s">
        <v>12</v>
      </c>
      <c r="E158" s="2">
        <v>4</v>
      </c>
      <c r="F158">
        <v>114</v>
      </c>
      <c r="G158">
        <f>42.71-(0.42*AuctionValueTable[[#This Row],[Overall Rank]])</f>
        <v>-23.229999999999997</v>
      </c>
      <c r="H158">
        <v>-43</v>
      </c>
      <c r="I158" t="s">
        <v>35</v>
      </c>
      <c r="J158" t="s">
        <v>145</v>
      </c>
    </row>
    <row r="159" spans="1:10">
      <c r="A159">
        <v>158</v>
      </c>
      <c r="B159" t="s">
        <v>345</v>
      </c>
      <c r="C159" t="s">
        <v>346</v>
      </c>
      <c r="D159" t="s">
        <v>62</v>
      </c>
      <c r="E159" s="2">
        <v>0</v>
      </c>
      <c r="F159">
        <v>153</v>
      </c>
      <c r="G159">
        <f>42.71-(0.42*AuctionValueTable[[#This Row],[Overall Rank]])</f>
        <v>-23.65</v>
      </c>
      <c r="H159">
        <v>-5</v>
      </c>
      <c r="I159" t="s">
        <v>31</v>
      </c>
      <c r="J159" t="s">
        <v>145</v>
      </c>
    </row>
    <row r="160" spans="1:10">
      <c r="A160">
        <v>159</v>
      </c>
      <c r="B160" t="s">
        <v>347</v>
      </c>
      <c r="C160" t="s">
        <v>348</v>
      </c>
      <c r="D160" t="s">
        <v>22</v>
      </c>
      <c r="E160" s="2">
        <v>0</v>
      </c>
      <c r="F160">
        <v>153</v>
      </c>
      <c r="G160">
        <f>42.71-(0.42*AuctionValueTable[[#This Row],[Overall Rank]])</f>
        <v>-24.07</v>
      </c>
      <c r="H160">
        <v>-6</v>
      </c>
      <c r="I160" t="s">
        <v>31</v>
      </c>
      <c r="J160" t="s">
        <v>145</v>
      </c>
    </row>
    <row r="161" spans="1:10">
      <c r="A161">
        <v>160</v>
      </c>
      <c r="B161" t="s">
        <v>349</v>
      </c>
      <c r="C161" t="s">
        <v>350</v>
      </c>
      <c r="D161" t="s">
        <v>77</v>
      </c>
      <c r="E161" s="2">
        <v>0</v>
      </c>
      <c r="F161">
        <v>153</v>
      </c>
      <c r="G161">
        <f>42.71-(0.42*AuctionValueTable[[#This Row],[Overall Rank]])</f>
        <v>-24.490000000000002</v>
      </c>
      <c r="H161">
        <v>-7</v>
      </c>
      <c r="I161" t="s">
        <v>31</v>
      </c>
      <c r="J161" t="s">
        <v>145</v>
      </c>
    </row>
    <row r="162" spans="1:10">
      <c r="A162">
        <v>161</v>
      </c>
      <c r="B162" t="s">
        <v>351</v>
      </c>
      <c r="C162" t="s">
        <v>352</v>
      </c>
      <c r="D162" t="s">
        <v>12</v>
      </c>
      <c r="E162" s="2">
        <v>1</v>
      </c>
      <c r="F162">
        <v>145</v>
      </c>
      <c r="G162">
        <f>42.71-(0.42*AuctionValueTable[[#This Row],[Overall Rank]])</f>
        <v>-24.910000000000004</v>
      </c>
      <c r="H162">
        <v>-16</v>
      </c>
      <c r="I162" t="s">
        <v>35</v>
      </c>
      <c r="J162" t="s">
        <v>145</v>
      </c>
    </row>
    <row r="163" spans="1:10">
      <c r="A163">
        <v>162</v>
      </c>
      <c r="B163" t="s">
        <v>353</v>
      </c>
      <c r="C163" t="s">
        <v>354</v>
      </c>
      <c r="D163" t="s">
        <v>22</v>
      </c>
      <c r="E163" s="2">
        <v>0</v>
      </c>
      <c r="F163">
        <v>153</v>
      </c>
      <c r="G163">
        <f>42.71-(0.42*AuctionValueTable[[#This Row],[Overall Rank]])</f>
        <v>-25.329999999999991</v>
      </c>
      <c r="H163">
        <v>-9</v>
      </c>
      <c r="I163" t="s">
        <v>31</v>
      </c>
      <c r="J163" t="s">
        <v>145</v>
      </c>
    </row>
    <row r="164" spans="1:10">
      <c r="A164">
        <v>163</v>
      </c>
      <c r="B164" t="s">
        <v>355</v>
      </c>
      <c r="C164" t="s">
        <v>356</v>
      </c>
      <c r="D164" t="s">
        <v>12</v>
      </c>
      <c r="E164" s="2">
        <v>0</v>
      </c>
      <c r="F164">
        <v>153</v>
      </c>
      <c r="G164">
        <f>42.71-(0.42*AuctionValueTable[[#This Row],[Overall Rank]])</f>
        <v>-25.749999999999993</v>
      </c>
      <c r="H164">
        <v>-10</v>
      </c>
      <c r="I164" t="s">
        <v>31</v>
      </c>
      <c r="J164" t="s">
        <v>145</v>
      </c>
    </row>
    <row r="165" spans="1:10">
      <c r="A165">
        <v>164</v>
      </c>
      <c r="B165" t="s">
        <v>357</v>
      </c>
      <c r="C165" t="s">
        <v>358</v>
      </c>
      <c r="D165" t="s">
        <v>22</v>
      </c>
      <c r="E165" s="2">
        <v>0</v>
      </c>
      <c r="F165">
        <v>153</v>
      </c>
      <c r="G165">
        <f>42.71-(0.42*AuctionValueTable[[#This Row],[Overall Rank]])</f>
        <v>-26.169999999999995</v>
      </c>
      <c r="H165">
        <v>-11</v>
      </c>
      <c r="I165" t="s">
        <v>31</v>
      </c>
      <c r="J165" t="s">
        <v>145</v>
      </c>
    </row>
    <row r="166" spans="1:10">
      <c r="A166">
        <v>165</v>
      </c>
      <c r="B166" t="s">
        <v>359</v>
      </c>
      <c r="C166" t="s">
        <v>360</v>
      </c>
      <c r="D166" t="s">
        <v>22</v>
      </c>
      <c r="E166" s="2">
        <v>0</v>
      </c>
      <c r="F166">
        <v>153</v>
      </c>
      <c r="G166">
        <f>42.71-(0.42*AuctionValueTable[[#This Row],[Overall Rank]])</f>
        <v>-26.589999999999996</v>
      </c>
      <c r="H166">
        <v>-12</v>
      </c>
      <c r="I166" t="s">
        <v>31</v>
      </c>
      <c r="J166" t="s">
        <v>145</v>
      </c>
    </row>
    <row r="167" spans="1:10">
      <c r="A167">
        <v>166</v>
      </c>
      <c r="B167" t="s">
        <v>361</v>
      </c>
      <c r="C167" t="s">
        <v>362</v>
      </c>
      <c r="D167" t="s">
        <v>62</v>
      </c>
      <c r="E167" s="2">
        <v>0</v>
      </c>
      <c r="F167">
        <v>153</v>
      </c>
      <c r="G167">
        <f>42.71-(0.42*AuctionValueTable[[#This Row],[Overall Rank]])</f>
        <v>-27.009999999999998</v>
      </c>
      <c r="H167">
        <v>-13</v>
      </c>
      <c r="I167" t="s">
        <v>31</v>
      </c>
      <c r="J167" t="s">
        <v>145</v>
      </c>
    </row>
    <row r="168" spans="1:10">
      <c r="A168">
        <v>167</v>
      </c>
      <c r="B168" t="s">
        <v>363</v>
      </c>
      <c r="C168" t="s">
        <v>364</v>
      </c>
      <c r="D168" t="s">
        <v>22</v>
      </c>
      <c r="E168" s="2">
        <v>0</v>
      </c>
      <c r="F168">
        <v>153</v>
      </c>
      <c r="G168">
        <f>42.71-(0.42*AuctionValueTable[[#This Row],[Overall Rank]])</f>
        <v>-27.43</v>
      </c>
      <c r="H168">
        <v>-14</v>
      </c>
      <c r="I168" t="s">
        <v>31</v>
      </c>
      <c r="J168" t="s">
        <v>145</v>
      </c>
    </row>
    <row r="169" spans="1:10">
      <c r="A169">
        <v>168</v>
      </c>
      <c r="B169" t="s">
        <v>365</v>
      </c>
      <c r="C169" t="s">
        <v>366</v>
      </c>
      <c r="D169" t="s">
        <v>22</v>
      </c>
      <c r="E169" s="2">
        <v>0</v>
      </c>
      <c r="F169">
        <v>153</v>
      </c>
      <c r="G169">
        <f>42.71-(0.42*AuctionValueTable[[#This Row],[Overall Rank]])</f>
        <v>-27.85</v>
      </c>
      <c r="H169">
        <v>-15</v>
      </c>
      <c r="I169" t="s">
        <v>35</v>
      </c>
      <c r="J169" t="s">
        <v>145</v>
      </c>
    </row>
    <row r="170" spans="1:10">
      <c r="A170">
        <v>169</v>
      </c>
      <c r="B170" t="s">
        <v>367</v>
      </c>
      <c r="C170" t="s">
        <v>368</v>
      </c>
      <c r="D170" t="s">
        <v>12</v>
      </c>
      <c r="E170" s="2"/>
      <c r="G170">
        <f>42.71-(0.42*AuctionValueTable[[#This Row],[Overall Rank]])</f>
        <v>-28.270000000000003</v>
      </c>
      <c r="I170" t="s">
        <v>336</v>
      </c>
    </row>
    <row r="171" spans="1:10">
      <c r="A171">
        <v>170</v>
      </c>
      <c r="B171" t="s">
        <v>369</v>
      </c>
      <c r="C171" t="s">
        <v>370</v>
      </c>
      <c r="D171" t="s">
        <v>62</v>
      </c>
      <c r="E171" s="2">
        <v>1</v>
      </c>
      <c r="F171">
        <v>145</v>
      </c>
      <c r="G171">
        <f>42.71-(0.42*AuctionValueTable[[#This Row],[Overall Rank]])</f>
        <v>-28.689999999999991</v>
      </c>
      <c r="H171">
        <v>-25</v>
      </c>
      <c r="I171" t="s">
        <v>35</v>
      </c>
      <c r="J171" t="s">
        <v>145</v>
      </c>
    </row>
    <row r="172" spans="1:10">
      <c r="A172">
        <v>171</v>
      </c>
      <c r="B172" t="s">
        <v>371</v>
      </c>
      <c r="C172" t="s">
        <v>372</v>
      </c>
      <c r="D172" t="s">
        <v>12</v>
      </c>
      <c r="E172" s="2">
        <v>3</v>
      </c>
      <c r="F172">
        <v>126</v>
      </c>
      <c r="G172">
        <f>42.71-(0.42*AuctionValueTable[[#This Row],[Overall Rank]])</f>
        <v>-29.109999999999992</v>
      </c>
      <c r="H172">
        <v>-45</v>
      </c>
      <c r="I172" t="s">
        <v>35</v>
      </c>
      <c r="J172" t="s">
        <v>145</v>
      </c>
    </row>
    <row r="173" spans="1:10">
      <c r="A173">
        <v>172</v>
      </c>
      <c r="B173" t="s">
        <v>373</v>
      </c>
      <c r="C173" t="s">
        <v>374</v>
      </c>
      <c r="D173" t="s">
        <v>62</v>
      </c>
      <c r="E173" s="2">
        <v>0</v>
      </c>
      <c r="F173">
        <v>153</v>
      </c>
      <c r="G173">
        <f>42.71-(0.42*AuctionValueTable[[#This Row],[Overall Rank]])</f>
        <v>-29.529999999999994</v>
      </c>
      <c r="H173">
        <v>-19</v>
      </c>
      <c r="I173" t="s">
        <v>35</v>
      </c>
      <c r="J173" t="s">
        <v>145</v>
      </c>
    </row>
    <row r="174" spans="1:10">
      <c r="A174">
        <v>173</v>
      </c>
      <c r="B174" t="s">
        <v>375</v>
      </c>
      <c r="C174" t="s">
        <v>376</v>
      </c>
      <c r="D174" t="s">
        <v>22</v>
      </c>
      <c r="E174" s="2">
        <v>0</v>
      </c>
      <c r="F174">
        <v>153</v>
      </c>
      <c r="G174">
        <f>42.71-(0.42*AuctionValueTable[[#This Row],[Overall Rank]])</f>
        <v>-29.949999999999996</v>
      </c>
      <c r="H174">
        <v>-20</v>
      </c>
      <c r="I174" t="s">
        <v>35</v>
      </c>
      <c r="J174" t="s">
        <v>145</v>
      </c>
    </row>
    <row r="175" spans="1:10">
      <c r="A175">
        <v>174</v>
      </c>
      <c r="B175" t="s">
        <v>377</v>
      </c>
      <c r="C175" t="s">
        <v>378</v>
      </c>
      <c r="D175" t="s">
        <v>62</v>
      </c>
      <c r="E175" s="2">
        <v>0</v>
      </c>
      <c r="F175">
        <v>153</v>
      </c>
      <c r="G175">
        <f>42.71-(0.42*AuctionValueTable[[#This Row],[Overall Rank]])</f>
        <v>-30.369999999999997</v>
      </c>
      <c r="H175">
        <v>-21</v>
      </c>
      <c r="I175" t="s">
        <v>35</v>
      </c>
      <c r="J175" t="s">
        <v>145</v>
      </c>
    </row>
    <row r="176" spans="1:10">
      <c r="A176">
        <v>175</v>
      </c>
      <c r="B176" t="s">
        <v>379</v>
      </c>
      <c r="C176" t="s">
        <v>380</v>
      </c>
      <c r="D176" t="s">
        <v>77</v>
      </c>
      <c r="E176" s="2">
        <v>0</v>
      </c>
      <c r="F176">
        <v>153</v>
      </c>
      <c r="G176">
        <f>42.71-(0.42*AuctionValueTable[[#This Row],[Overall Rank]])</f>
        <v>-30.79</v>
      </c>
      <c r="H176">
        <v>-22</v>
      </c>
      <c r="I176" t="s">
        <v>35</v>
      </c>
      <c r="J176" t="s">
        <v>145</v>
      </c>
    </row>
    <row r="177" spans="1:10">
      <c r="A177">
        <v>176</v>
      </c>
      <c r="B177" t="s">
        <v>381</v>
      </c>
      <c r="C177" t="s">
        <v>382</v>
      </c>
      <c r="D177" t="s">
        <v>22</v>
      </c>
      <c r="E177" s="2">
        <v>0</v>
      </c>
      <c r="F177">
        <v>153</v>
      </c>
      <c r="G177">
        <f>42.71-(0.42*AuctionValueTable[[#This Row],[Overall Rank]])</f>
        <v>-31.21</v>
      </c>
      <c r="H177">
        <v>-23</v>
      </c>
      <c r="I177" t="s">
        <v>35</v>
      </c>
      <c r="J177" t="s">
        <v>145</v>
      </c>
    </row>
    <row r="178" spans="1:10">
      <c r="A178">
        <v>177</v>
      </c>
      <c r="B178" t="s">
        <v>383</v>
      </c>
      <c r="C178" t="s">
        <v>384</v>
      </c>
      <c r="D178" t="s">
        <v>77</v>
      </c>
      <c r="E178" s="2">
        <v>0</v>
      </c>
      <c r="F178">
        <v>153</v>
      </c>
      <c r="G178">
        <f>42.71-(0.42*AuctionValueTable[[#This Row],[Overall Rank]])</f>
        <v>-31.630000000000003</v>
      </c>
      <c r="H178">
        <v>-24</v>
      </c>
      <c r="I178" t="s">
        <v>35</v>
      </c>
      <c r="J178" t="s">
        <v>145</v>
      </c>
    </row>
    <row r="179" spans="1:10">
      <c r="A179">
        <v>178</v>
      </c>
      <c r="B179" t="s">
        <v>385</v>
      </c>
      <c r="C179" t="s">
        <v>386</v>
      </c>
      <c r="D179" t="s">
        <v>22</v>
      </c>
      <c r="E179" s="2">
        <v>0</v>
      </c>
      <c r="F179">
        <v>153</v>
      </c>
      <c r="G179">
        <f>42.71-(0.42*AuctionValueTable[[#This Row],[Overall Rank]])</f>
        <v>-32.04999999999999</v>
      </c>
      <c r="H179">
        <v>-25</v>
      </c>
      <c r="I179" t="s">
        <v>35</v>
      </c>
      <c r="J179" t="s">
        <v>145</v>
      </c>
    </row>
    <row r="180" spans="1:10">
      <c r="A180">
        <v>179</v>
      </c>
      <c r="B180" t="s">
        <v>387</v>
      </c>
      <c r="C180" t="s">
        <v>388</v>
      </c>
      <c r="D180" t="s">
        <v>62</v>
      </c>
      <c r="E180" s="2">
        <v>0</v>
      </c>
      <c r="F180">
        <v>153</v>
      </c>
      <c r="G180">
        <f>42.71-(0.42*AuctionValueTable[[#This Row],[Overall Rank]])</f>
        <v>-32.469999999999992</v>
      </c>
      <c r="H180">
        <v>-26</v>
      </c>
      <c r="I180" t="s">
        <v>35</v>
      </c>
      <c r="J180" t="s">
        <v>145</v>
      </c>
    </row>
    <row r="181" spans="1:10">
      <c r="A181">
        <v>180</v>
      </c>
      <c r="B181" t="s">
        <v>389</v>
      </c>
      <c r="C181" t="s">
        <v>390</v>
      </c>
      <c r="D181" t="s">
        <v>22</v>
      </c>
      <c r="E181" s="2">
        <v>0</v>
      </c>
      <c r="F181">
        <v>153</v>
      </c>
      <c r="G181">
        <f>42.71-(0.42*AuctionValueTable[[#This Row],[Overall Rank]])</f>
        <v>-32.889999999999993</v>
      </c>
      <c r="H181">
        <v>-27</v>
      </c>
      <c r="I181" t="s">
        <v>35</v>
      </c>
      <c r="J181" t="s">
        <v>145</v>
      </c>
    </row>
    <row r="182" spans="1:10">
      <c r="A182">
        <v>181</v>
      </c>
      <c r="B182" t="s">
        <v>391</v>
      </c>
      <c r="C182" t="s">
        <v>392</v>
      </c>
      <c r="D182" t="s">
        <v>22</v>
      </c>
      <c r="E182" s="2">
        <v>0</v>
      </c>
      <c r="F182">
        <v>153</v>
      </c>
      <c r="G182">
        <f>42.71-(0.42*AuctionValueTable[[#This Row],[Overall Rank]])</f>
        <v>-33.309999999999995</v>
      </c>
      <c r="H182">
        <v>-28</v>
      </c>
      <c r="I182" t="s">
        <v>35</v>
      </c>
      <c r="J182" t="s">
        <v>145</v>
      </c>
    </row>
    <row r="183" spans="1:10">
      <c r="A183">
        <v>182</v>
      </c>
      <c r="B183" t="s">
        <v>393</v>
      </c>
      <c r="C183" t="s">
        <v>394</v>
      </c>
      <c r="D183" t="s">
        <v>12</v>
      </c>
      <c r="E183" s="2">
        <v>1</v>
      </c>
      <c r="F183">
        <v>145</v>
      </c>
      <c r="G183">
        <f>42.71-(0.42*AuctionValueTable[[#This Row],[Overall Rank]])</f>
        <v>-33.729999999999997</v>
      </c>
      <c r="H183">
        <v>-37</v>
      </c>
      <c r="I183" t="s">
        <v>35</v>
      </c>
      <c r="J183" t="s">
        <v>145</v>
      </c>
    </row>
    <row r="184" spans="1:10">
      <c r="A184">
        <v>183</v>
      </c>
      <c r="B184" t="s">
        <v>395</v>
      </c>
      <c r="C184" t="s">
        <v>396</v>
      </c>
      <c r="D184" t="s">
        <v>77</v>
      </c>
      <c r="E184" s="2">
        <v>0</v>
      </c>
      <c r="F184">
        <v>153</v>
      </c>
      <c r="G184">
        <f>42.71-(0.42*AuctionValueTable[[#This Row],[Overall Rank]])</f>
        <v>-34.15</v>
      </c>
      <c r="H184">
        <v>-30</v>
      </c>
      <c r="I184" t="s">
        <v>35</v>
      </c>
      <c r="J184" t="s">
        <v>145</v>
      </c>
    </row>
    <row r="185" spans="1:10">
      <c r="A185">
        <v>184</v>
      </c>
      <c r="B185" t="s">
        <v>397</v>
      </c>
      <c r="C185" t="s">
        <v>398</v>
      </c>
      <c r="D185" t="s">
        <v>22</v>
      </c>
      <c r="E185" s="2">
        <v>0</v>
      </c>
      <c r="F185">
        <v>153</v>
      </c>
      <c r="G185">
        <f>42.71-(0.42*AuctionValueTable[[#This Row],[Overall Rank]])</f>
        <v>-34.57</v>
      </c>
      <c r="H185">
        <v>-31</v>
      </c>
      <c r="I185" t="s">
        <v>35</v>
      </c>
      <c r="J185" t="s">
        <v>145</v>
      </c>
    </row>
    <row r="186" spans="1:10">
      <c r="A186">
        <v>185</v>
      </c>
      <c r="B186" t="s">
        <v>399</v>
      </c>
      <c r="C186" t="s">
        <v>400</v>
      </c>
      <c r="D186" t="s">
        <v>12</v>
      </c>
      <c r="E186" s="2">
        <v>0</v>
      </c>
      <c r="F186">
        <v>153</v>
      </c>
      <c r="G186">
        <f>42.71-(0.42*AuctionValueTable[[#This Row],[Overall Rank]])</f>
        <v>-34.99</v>
      </c>
      <c r="H186">
        <v>-32</v>
      </c>
      <c r="I186" t="s">
        <v>35</v>
      </c>
      <c r="J186" t="s">
        <v>145</v>
      </c>
    </row>
    <row r="187" spans="1:10">
      <c r="A187">
        <v>186</v>
      </c>
      <c r="B187" t="s">
        <v>401</v>
      </c>
      <c r="C187" t="s">
        <v>402</v>
      </c>
      <c r="D187" t="s">
        <v>77</v>
      </c>
      <c r="E187" s="2">
        <v>0</v>
      </c>
      <c r="F187">
        <v>153</v>
      </c>
      <c r="G187">
        <f>42.71-(0.42*AuctionValueTable[[#This Row],[Overall Rank]])</f>
        <v>-35.409999999999989</v>
      </c>
      <c r="H187">
        <v>-33</v>
      </c>
      <c r="I187" t="s">
        <v>35</v>
      </c>
      <c r="J187" t="s">
        <v>145</v>
      </c>
    </row>
    <row r="188" spans="1:10">
      <c r="A188">
        <v>187</v>
      </c>
      <c r="B188" t="s">
        <v>403</v>
      </c>
      <c r="C188" t="s">
        <v>404</v>
      </c>
      <c r="D188" t="s">
        <v>62</v>
      </c>
      <c r="E188" s="2">
        <v>0</v>
      </c>
      <c r="F188">
        <v>153</v>
      </c>
      <c r="G188">
        <f>42.71-(0.42*AuctionValueTable[[#This Row],[Overall Rank]])</f>
        <v>-35.829999999999991</v>
      </c>
      <c r="H188">
        <v>-34</v>
      </c>
      <c r="I188" t="s">
        <v>35</v>
      </c>
      <c r="J188" t="s">
        <v>145</v>
      </c>
    </row>
    <row r="189" spans="1:10">
      <c r="A189">
        <v>188</v>
      </c>
      <c r="B189" t="s">
        <v>405</v>
      </c>
      <c r="C189" t="s">
        <v>406</v>
      </c>
      <c r="D189" t="s">
        <v>22</v>
      </c>
      <c r="E189" s="2"/>
      <c r="G189">
        <f>42.71-(0.42*AuctionValueTable[[#This Row],[Overall Rank]])</f>
        <v>-36.249999999999993</v>
      </c>
      <c r="I189" t="s">
        <v>336</v>
      </c>
    </row>
    <row r="190" spans="1:10">
      <c r="A190">
        <v>189</v>
      </c>
      <c r="B190" t="s">
        <v>407</v>
      </c>
      <c r="C190" t="s">
        <v>408</v>
      </c>
      <c r="D190" t="s">
        <v>22</v>
      </c>
      <c r="E190" s="2">
        <v>0</v>
      </c>
      <c r="F190">
        <v>153</v>
      </c>
      <c r="G190">
        <f>42.71-(0.42*AuctionValueTable[[#This Row],[Overall Rank]])</f>
        <v>-36.669999999999995</v>
      </c>
      <c r="H190">
        <v>-36</v>
      </c>
      <c r="I190" t="s">
        <v>35</v>
      </c>
      <c r="J190" t="s">
        <v>145</v>
      </c>
    </row>
    <row r="191" spans="1:10">
      <c r="A191">
        <v>190</v>
      </c>
      <c r="B191" t="s">
        <v>409</v>
      </c>
      <c r="C191" t="s">
        <v>410</v>
      </c>
      <c r="D191" t="s">
        <v>62</v>
      </c>
      <c r="E191" s="2">
        <v>0</v>
      </c>
      <c r="F191">
        <v>153</v>
      </c>
      <c r="G191">
        <f>42.71-(0.42*AuctionValueTable[[#This Row],[Overall Rank]])</f>
        <v>-37.089999999999996</v>
      </c>
      <c r="H191">
        <v>-37</v>
      </c>
      <c r="I191" t="s">
        <v>35</v>
      </c>
      <c r="J191" t="s">
        <v>145</v>
      </c>
    </row>
    <row r="192" spans="1:10">
      <c r="A192">
        <v>191</v>
      </c>
      <c r="B192" t="s">
        <v>411</v>
      </c>
      <c r="C192" t="s">
        <v>412</v>
      </c>
      <c r="D192" t="s">
        <v>22</v>
      </c>
      <c r="E192" s="2">
        <v>3</v>
      </c>
      <c r="F192">
        <v>126</v>
      </c>
      <c r="G192">
        <f>42.71-(0.42*AuctionValueTable[[#This Row],[Overall Rank]])</f>
        <v>-37.51</v>
      </c>
      <c r="H192">
        <v>-65</v>
      </c>
      <c r="I192" t="s">
        <v>35</v>
      </c>
      <c r="J192" t="s">
        <v>145</v>
      </c>
    </row>
    <row r="193" spans="1:10">
      <c r="A193">
        <v>192</v>
      </c>
      <c r="B193" t="s">
        <v>413</v>
      </c>
      <c r="C193" t="s">
        <v>414</v>
      </c>
      <c r="D193" t="s">
        <v>22</v>
      </c>
      <c r="E193" s="2"/>
      <c r="G193">
        <f>42.71-(0.42*AuctionValueTable[[#This Row],[Overall Rank]])</f>
        <v>-37.93</v>
      </c>
      <c r="I193" t="s">
        <v>336</v>
      </c>
    </row>
    <row r="194" spans="1:10">
      <c r="A194">
        <v>193</v>
      </c>
      <c r="B194" t="s">
        <v>415</v>
      </c>
      <c r="C194" t="s">
        <v>416</v>
      </c>
      <c r="D194" t="s">
        <v>12</v>
      </c>
      <c r="E194" s="2">
        <v>0</v>
      </c>
      <c r="F194">
        <v>153</v>
      </c>
      <c r="G194">
        <f>42.71-(0.42*AuctionValueTable[[#This Row],[Overall Rank]])</f>
        <v>-38.35</v>
      </c>
      <c r="H194">
        <v>-40</v>
      </c>
      <c r="I194" t="s">
        <v>35</v>
      </c>
      <c r="J194" t="s">
        <v>145</v>
      </c>
    </row>
    <row r="195" spans="1:10">
      <c r="A195">
        <v>194</v>
      </c>
      <c r="B195" t="s">
        <v>417</v>
      </c>
      <c r="C195" t="s">
        <v>418</v>
      </c>
      <c r="D195" t="s">
        <v>62</v>
      </c>
      <c r="E195" s="2">
        <v>0</v>
      </c>
      <c r="F195">
        <v>153</v>
      </c>
      <c r="G195">
        <f>42.71-(0.42*AuctionValueTable[[#This Row],[Overall Rank]])</f>
        <v>-38.770000000000003</v>
      </c>
      <c r="H195">
        <v>-41</v>
      </c>
      <c r="I195" t="s">
        <v>35</v>
      </c>
      <c r="J195" t="s">
        <v>145</v>
      </c>
    </row>
    <row r="196" spans="1:10">
      <c r="A196">
        <v>195</v>
      </c>
      <c r="B196" t="s">
        <v>419</v>
      </c>
      <c r="C196" t="s">
        <v>420</v>
      </c>
      <c r="D196" t="s">
        <v>12</v>
      </c>
      <c r="E196" s="2">
        <v>0</v>
      </c>
      <c r="F196">
        <v>153</v>
      </c>
      <c r="G196">
        <f>42.71-(0.42*AuctionValueTable[[#This Row],[Overall Rank]])</f>
        <v>-39.189999999999991</v>
      </c>
      <c r="H196">
        <v>-42</v>
      </c>
      <c r="I196" t="s">
        <v>35</v>
      </c>
      <c r="J196" t="s">
        <v>145</v>
      </c>
    </row>
    <row r="197" spans="1:10">
      <c r="A197">
        <v>196</v>
      </c>
      <c r="B197" t="s">
        <v>421</v>
      </c>
      <c r="C197" t="s">
        <v>422</v>
      </c>
      <c r="D197" t="s">
        <v>12</v>
      </c>
      <c r="E197" s="2"/>
      <c r="G197">
        <f>42.71-(0.42*AuctionValueTable[[#This Row],[Overall Rank]])</f>
        <v>-39.609999999999992</v>
      </c>
      <c r="I197" t="s">
        <v>336</v>
      </c>
    </row>
    <row r="198" spans="1:10">
      <c r="A198">
        <v>197</v>
      </c>
      <c r="B198" t="s">
        <v>423</v>
      </c>
      <c r="C198" t="s">
        <v>424</v>
      </c>
      <c r="D198" t="s">
        <v>22</v>
      </c>
      <c r="E198" s="2"/>
      <c r="G198">
        <f>42.71-(0.42*AuctionValueTable[[#This Row],[Overall Rank]])</f>
        <v>-40.029999999999994</v>
      </c>
      <c r="I198" t="s">
        <v>336</v>
      </c>
    </row>
    <row r="199" spans="1:10">
      <c r="A199">
        <v>198</v>
      </c>
      <c r="B199" t="s">
        <v>425</v>
      </c>
      <c r="C199" t="s">
        <v>426</v>
      </c>
      <c r="D199" t="s">
        <v>62</v>
      </c>
      <c r="E199" s="2">
        <v>0</v>
      </c>
      <c r="F199">
        <v>153</v>
      </c>
      <c r="G199">
        <f>42.71-(0.42*AuctionValueTable[[#This Row],[Overall Rank]])</f>
        <v>-40.449999999999996</v>
      </c>
      <c r="H199">
        <v>-45</v>
      </c>
      <c r="I199" t="s">
        <v>35</v>
      </c>
      <c r="J199" t="s">
        <v>145</v>
      </c>
    </row>
    <row r="200" spans="1:10">
      <c r="A200">
        <v>199</v>
      </c>
      <c r="B200" t="s">
        <v>427</v>
      </c>
      <c r="C200" t="s">
        <v>428</v>
      </c>
      <c r="D200" t="s">
        <v>12</v>
      </c>
      <c r="E200" s="2">
        <v>0</v>
      </c>
      <c r="F200">
        <v>153</v>
      </c>
      <c r="G200">
        <f>42.71-(0.42*AuctionValueTable[[#This Row],[Overall Rank]])</f>
        <v>-40.869999999999997</v>
      </c>
      <c r="H200">
        <v>-46</v>
      </c>
      <c r="I200" t="s">
        <v>35</v>
      </c>
      <c r="J200" t="s">
        <v>145</v>
      </c>
    </row>
    <row r="201" spans="1:10">
      <c r="A201">
        <v>200</v>
      </c>
      <c r="B201" t="s">
        <v>429</v>
      </c>
      <c r="C201" t="s">
        <v>430</v>
      </c>
      <c r="D201" t="s">
        <v>22</v>
      </c>
      <c r="E201" s="2"/>
      <c r="G201">
        <f>42.71-(0.42*AuctionValueTable[[#This Row],[Overall Rank]])</f>
        <v>-41.29</v>
      </c>
      <c r="I201" t="s">
        <v>336</v>
      </c>
    </row>
    <row r="202" spans="1:10">
      <c r="A202">
        <v>201</v>
      </c>
      <c r="B202" t="s">
        <v>431</v>
      </c>
      <c r="C202" t="s">
        <v>432</v>
      </c>
      <c r="D202" t="s">
        <v>77</v>
      </c>
      <c r="E202" s="2">
        <v>0</v>
      </c>
      <c r="F202">
        <v>153</v>
      </c>
      <c r="G202">
        <f>42.71-(0.42*AuctionValueTable[[#This Row],[Overall Rank]])</f>
        <v>-41.71</v>
      </c>
      <c r="H202">
        <v>-48</v>
      </c>
      <c r="I202" t="s">
        <v>35</v>
      </c>
      <c r="J202" t="s">
        <v>145</v>
      </c>
    </row>
    <row r="203" spans="1:10">
      <c r="A203">
        <v>202</v>
      </c>
      <c r="B203" t="s">
        <v>433</v>
      </c>
      <c r="C203" t="s">
        <v>434</v>
      </c>
      <c r="D203" t="s">
        <v>12</v>
      </c>
      <c r="E203" s="2">
        <v>2</v>
      </c>
      <c r="F203">
        <v>132</v>
      </c>
      <c r="G203">
        <f>42.71-(0.42*AuctionValueTable[[#This Row],[Overall Rank]])</f>
        <v>-42.13</v>
      </c>
      <c r="H203">
        <v>-70</v>
      </c>
      <c r="I203" t="s">
        <v>35</v>
      </c>
      <c r="J203" t="s">
        <v>145</v>
      </c>
    </row>
    <row r="204" spans="1:10">
      <c r="A204">
        <v>203</v>
      </c>
      <c r="B204" t="s">
        <v>435</v>
      </c>
      <c r="C204" t="s">
        <v>436</v>
      </c>
      <c r="D204" t="s">
        <v>22</v>
      </c>
      <c r="E204" s="2"/>
      <c r="G204">
        <f>42.71-(0.42*AuctionValueTable[[#This Row],[Overall Rank]])</f>
        <v>-42.54999999999999</v>
      </c>
      <c r="I204" t="s">
        <v>336</v>
      </c>
    </row>
    <row r="205" spans="1:10">
      <c r="A205">
        <v>204</v>
      </c>
      <c r="B205" t="s">
        <v>437</v>
      </c>
      <c r="C205" t="s">
        <v>438</v>
      </c>
      <c r="D205" t="s">
        <v>12</v>
      </c>
      <c r="E205" s="2"/>
      <c r="G205">
        <f>42.71-(0.42*AuctionValueTable[[#This Row],[Overall Rank]])</f>
        <v>-42.969999999999992</v>
      </c>
      <c r="I205" t="s">
        <v>336</v>
      </c>
    </row>
    <row r="206" spans="1:10">
      <c r="A206">
        <v>205</v>
      </c>
      <c r="B206" t="s">
        <v>439</v>
      </c>
      <c r="C206" t="s">
        <v>440</v>
      </c>
      <c r="D206" t="s">
        <v>12</v>
      </c>
      <c r="E206" s="2">
        <v>0</v>
      </c>
      <c r="F206">
        <v>153</v>
      </c>
      <c r="G206">
        <f>42.71-(0.42*AuctionValueTable[[#This Row],[Overall Rank]])</f>
        <v>-43.389999999999993</v>
      </c>
      <c r="H206">
        <v>-52</v>
      </c>
      <c r="I206" t="s">
        <v>35</v>
      </c>
      <c r="J206" t="s">
        <v>145</v>
      </c>
    </row>
    <row r="207" spans="1:10">
      <c r="A207">
        <v>206</v>
      </c>
      <c r="B207" t="s">
        <v>441</v>
      </c>
      <c r="C207" t="s">
        <v>442</v>
      </c>
      <c r="D207" t="s">
        <v>62</v>
      </c>
      <c r="E207" s="2">
        <v>0</v>
      </c>
      <c r="F207">
        <v>153</v>
      </c>
      <c r="G207">
        <f>42.71-(0.42*AuctionValueTable[[#This Row],[Overall Rank]])</f>
        <v>-43.809999999999995</v>
      </c>
      <c r="H207">
        <v>-53</v>
      </c>
      <c r="I207" t="s">
        <v>35</v>
      </c>
      <c r="J207" t="s">
        <v>145</v>
      </c>
    </row>
    <row r="208" spans="1:10">
      <c r="A208">
        <v>207</v>
      </c>
      <c r="B208" t="s">
        <v>443</v>
      </c>
      <c r="C208" t="s">
        <v>444</v>
      </c>
      <c r="D208" t="s">
        <v>12</v>
      </c>
      <c r="E208" s="2">
        <v>2</v>
      </c>
      <c r="F208">
        <v>132</v>
      </c>
      <c r="G208">
        <f>42.71-(0.42*AuctionValueTable[[#This Row],[Overall Rank]])</f>
        <v>-44.23</v>
      </c>
      <c r="H208">
        <v>-75</v>
      </c>
      <c r="I208" t="s">
        <v>35</v>
      </c>
      <c r="J208" t="s">
        <v>145</v>
      </c>
    </row>
    <row r="209" spans="1:10">
      <c r="A209">
        <v>208</v>
      </c>
      <c r="B209" t="s">
        <v>445</v>
      </c>
      <c r="C209" t="s">
        <v>446</v>
      </c>
      <c r="D209" t="s">
        <v>22</v>
      </c>
      <c r="E209" s="2"/>
      <c r="G209">
        <f>42.71-(0.42*AuctionValueTable[[#This Row],[Overall Rank]])</f>
        <v>-44.65</v>
      </c>
      <c r="I209" t="s">
        <v>336</v>
      </c>
    </row>
    <row r="210" spans="1:10">
      <c r="A210">
        <v>209</v>
      </c>
      <c r="B210" t="s">
        <v>447</v>
      </c>
      <c r="C210" t="s">
        <v>448</v>
      </c>
      <c r="D210" t="s">
        <v>12</v>
      </c>
      <c r="E210" s="2">
        <v>0</v>
      </c>
      <c r="F210">
        <v>153</v>
      </c>
      <c r="G210">
        <f>42.71-(0.42*AuctionValueTable[[#This Row],[Overall Rank]])</f>
        <v>-45.07</v>
      </c>
      <c r="H210">
        <v>-56</v>
      </c>
      <c r="I210" t="s">
        <v>35</v>
      </c>
      <c r="J210" t="s">
        <v>145</v>
      </c>
    </row>
    <row r="211" spans="1:10">
      <c r="A211">
        <v>210</v>
      </c>
      <c r="B211" t="s">
        <v>449</v>
      </c>
      <c r="C211" t="s">
        <v>450</v>
      </c>
      <c r="D211" t="s">
        <v>62</v>
      </c>
      <c r="E211" s="2">
        <v>0</v>
      </c>
      <c r="F211">
        <v>153</v>
      </c>
      <c r="G211">
        <f>42.71-(0.42*AuctionValueTable[[#This Row],[Overall Rank]])</f>
        <v>-45.49</v>
      </c>
      <c r="H211">
        <v>-57</v>
      </c>
      <c r="I211" t="s">
        <v>35</v>
      </c>
      <c r="J211" t="s">
        <v>145</v>
      </c>
    </row>
    <row r="212" spans="1:10">
      <c r="A212">
        <v>211</v>
      </c>
      <c r="B212" t="s">
        <v>451</v>
      </c>
      <c r="C212" t="s">
        <v>452</v>
      </c>
      <c r="D212" t="s">
        <v>22</v>
      </c>
      <c r="E212" s="2">
        <v>0</v>
      </c>
      <c r="F212">
        <v>153</v>
      </c>
      <c r="G212">
        <f>42.71-(0.42*AuctionValueTable[[#This Row],[Overall Rank]])</f>
        <v>-45.909999999999989</v>
      </c>
      <c r="H212">
        <v>-58</v>
      </c>
      <c r="I212" t="s">
        <v>35</v>
      </c>
      <c r="J212" t="s">
        <v>145</v>
      </c>
    </row>
    <row r="213" spans="1:10">
      <c r="A213">
        <v>212</v>
      </c>
      <c r="B213" t="s">
        <v>453</v>
      </c>
      <c r="C213" t="s">
        <v>454</v>
      </c>
      <c r="D213" t="s">
        <v>22</v>
      </c>
      <c r="E213" s="2">
        <v>2</v>
      </c>
      <c r="F213">
        <v>132</v>
      </c>
      <c r="G213">
        <f>42.71-(0.42*AuctionValueTable[[#This Row],[Overall Rank]])</f>
        <v>-46.329999999999991</v>
      </c>
      <c r="H213">
        <v>-80</v>
      </c>
      <c r="I213" t="s">
        <v>35</v>
      </c>
      <c r="J213" t="s">
        <v>145</v>
      </c>
    </row>
    <row r="214" spans="1:10">
      <c r="A214">
        <v>213</v>
      </c>
      <c r="B214" t="s">
        <v>455</v>
      </c>
      <c r="C214" t="s">
        <v>456</v>
      </c>
      <c r="D214" t="s">
        <v>12</v>
      </c>
      <c r="E214" s="2"/>
      <c r="G214">
        <f>42.71-(0.42*AuctionValueTable[[#This Row],[Overall Rank]])</f>
        <v>-46.749999999999993</v>
      </c>
      <c r="I214" t="s">
        <v>336</v>
      </c>
    </row>
    <row r="215" spans="1:10">
      <c r="A215">
        <v>214</v>
      </c>
      <c r="B215" t="s">
        <v>457</v>
      </c>
      <c r="C215" t="s">
        <v>458</v>
      </c>
      <c r="D215" t="s">
        <v>22</v>
      </c>
      <c r="E215" s="2">
        <v>0</v>
      </c>
      <c r="F215">
        <v>153</v>
      </c>
      <c r="G215">
        <f>42.71-(0.42*AuctionValueTable[[#This Row],[Overall Rank]])</f>
        <v>-47.169999999999995</v>
      </c>
      <c r="H215">
        <v>-61</v>
      </c>
      <c r="I215" t="s">
        <v>35</v>
      </c>
      <c r="J215" t="s">
        <v>145</v>
      </c>
    </row>
    <row r="216" spans="1:10">
      <c r="A216">
        <v>215</v>
      </c>
      <c r="B216" t="s">
        <v>459</v>
      </c>
      <c r="C216" t="s">
        <v>460</v>
      </c>
      <c r="D216" t="s">
        <v>22</v>
      </c>
      <c r="E216" s="2">
        <v>0</v>
      </c>
      <c r="F216">
        <v>153</v>
      </c>
      <c r="G216">
        <f>42.71-(0.42*AuctionValueTable[[#This Row],[Overall Rank]])</f>
        <v>-47.589999999999996</v>
      </c>
      <c r="H216">
        <v>-62</v>
      </c>
      <c r="I216" t="s">
        <v>35</v>
      </c>
      <c r="J216" t="s">
        <v>145</v>
      </c>
    </row>
    <row r="217" spans="1:10">
      <c r="A217">
        <v>216</v>
      </c>
      <c r="B217" t="s">
        <v>461</v>
      </c>
      <c r="C217" t="s">
        <v>462</v>
      </c>
      <c r="D217" t="s">
        <v>12</v>
      </c>
      <c r="E217" s="2">
        <v>0</v>
      </c>
      <c r="F217">
        <v>153</v>
      </c>
      <c r="G217">
        <f>42.71-(0.42*AuctionValueTable[[#This Row],[Overall Rank]])</f>
        <v>-48.01</v>
      </c>
      <c r="H217">
        <v>-63</v>
      </c>
      <c r="I217" t="s">
        <v>35</v>
      </c>
      <c r="J217" t="s">
        <v>145</v>
      </c>
    </row>
    <row r="218" spans="1:10">
      <c r="A218">
        <v>217</v>
      </c>
      <c r="B218" t="s">
        <v>463</v>
      </c>
      <c r="C218" t="s">
        <v>464</v>
      </c>
      <c r="D218" t="s">
        <v>77</v>
      </c>
      <c r="E218" s="2"/>
      <c r="G218">
        <f>42.71-(0.42*AuctionValueTable[[#This Row],[Overall Rank]])</f>
        <v>-48.43</v>
      </c>
      <c r="I218" t="s">
        <v>336</v>
      </c>
    </row>
    <row r="219" spans="1:10">
      <c r="A219">
        <v>218</v>
      </c>
      <c r="B219" t="s">
        <v>465</v>
      </c>
      <c r="C219" t="s">
        <v>466</v>
      </c>
      <c r="D219" t="s">
        <v>77</v>
      </c>
      <c r="E219" s="2">
        <v>0</v>
      </c>
      <c r="F219">
        <v>153</v>
      </c>
      <c r="G219">
        <f>42.71-(0.42*AuctionValueTable[[#This Row],[Overall Rank]])</f>
        <v>-48.85</v>
      </c>
      <c r="H219">
        <v>-65</v>
      </c>
      <c r="I219" t="s">
        <v>35</v>
      </c>
      <c r="J219" t="s">
        <v>145</v>
      </c>
    </row>
    <row r="220" spans="1:10">
      <c r="A220">
        <v>219</v>
      </c>
      <c r="B220" t="s">
        <v>467</v>
      </c>
      <c r="C220" t="s">
        <v>468</v>
      </c>
      <c r="D220" t="s">
        <v>12</v>
      </c>
      <c r="E220" s="2">
        <v>2</v>
      </c>
      <c r="F220">
        <v>132</v>
      </c>
      <c r="G220">
        <f>42.71-(0.42*AuctionValueTable[[#This Row],[Overall Rank]])</f>
        <v>-49.269999999999989</v>
      </c>
      <c r="H220">
        <v>-87</v>
      </c>
      <c r="I220" t="s">
        <v>35</v>
      </c>
      <c r="J220" t="s">
        <v>145</v>
      </c>
    </row>
    <row r="221" spans="1:10">
      <c r="A221">
        <v>220</v>
      </c>
      <c r="B221" t="s">
        <v>469</v>
      </c>
      <c r="C221" t="s">
        <v>470</v>
      </c>
      <c r="D221" t="s">
        <v>62</v>
      </c>
      <c r="E221" s="2"/>
      <c r="G221">
        <f>42.71-(0.42*AuctionValueTable[[#This Row],[Overall Rank]])</f>
        <v>-49.689999999999991</v>
      </c>
      <c r="I221" t="s">
        <v>336</v>
      </c>
    </row>
    <row r="222" spans="1:10">
      <c r="A222">
        <v>221</v>
      </c>
      <c r="B222" t="s">
        <v>471</v>
      </c>
      <c r="C222" t="s">
        <v>472</v>
      </c>
      <c r="D222" t="s">
        <v>62</v>
      </c>
      <c r="E222" s="2">
        <v>0</v>
      </c>
      <c r="F222">
        <v>153</v>
      </c>
      <c r="G222">
        <f>42.71-(0.42*AuctionValueTable[[#This Row],[Overall Rank]])</f>
        <v>-50.109999999999992</v>
      </c>
      <c r="H222">
        <v>-68</v>
      </c>
      <c r="I222" t="s">
        <v>35</v>
      </c>
      <c r="J222" t="s">
        <v>145</v>
      </c>
    </row>
    <row r="223" spans="1:10">
      <c r="A223">
        <v>222</v>
      </c>
      <c r="B223" t="s">
        <v>473</v>
      </c>
      <c r="C223" t="s">
        <v>474</v>
      </c>
      <c r="D223" t="s">
        <v>12</v>
      </c>
      <c r="E223" s="2">
        <v>0</v>
      </c>
      <c r="F223">
        <v>153</v>
      </c>
      <c r="G223">
        <f>42.71-(0.42*AuctionValueTable[[#This Row],[Overall Rank]])</f>
        <v>-50.529999999999994</v>
      </c>
      <c r="H223">
        <v>-69</v>
      </c>
      <c r="I223" t="s">
        <v>35</v>
      </c>
      <c r="J223" t="s">
        <v>145</v>
      </c>
    </row>
  </sheetData>
  <mergeCells count="1">
    <mergeCell ref="L1:N1"/>
  </mergeCells>
  <conditionalFormatting sqref="H2:H22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0"/>
  <sheetViews>
    <sheetView workbookViewId="0">
      <selection activeCell="C8" sqref="C8"/>
    </sheetView>
  </sheetViews>
  <sheetFormatPr defaultRowHeight="14.25"/>
  <cols>
    <col min="1" max="1" width="11" customWidth="1"/>
    <col min="2" max="2" width="24" customWidth="1"/>
    <col min="3" max="8" width="13" customWidth="1"/>
  </cols>
  <sheetData>
    <row r="1" spans="1:8" ht="15">
      <c r="A1" s="1" t="s">
        <v>475</v>
      </c>
      <c r="B1" s="1" t="s">
        <v>1</v>
      </c>
      <c r="C1" s="1" t="s">
        <v>2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476</v>
      </c>
    </row>
    <row r="2" spans="1:8">
      <c r="A2">
        <v>1</v>
      </c>
      <c r="B2" t="s">
        <v>208</v>
      </c>
      <c r="C2" t="s">
        <v>209</v>
      </c>
      <c r="D2">
        <v>90</v>
      </c>
      <c r="E2" s="2">
        <v>2</v>
      </c>
      <c r="F2">
        <v>132</v>
      </c>
      <c r="G2">
        <v>42</v>
      </c>
      <c r="H2" t="s">
        <v>19</v>
      </c>
    </row>
    <row r="3" spans="1:8">
      <c r="A3">
        <v>2</v>
      </c>
      <c r="B3" t="s">
        <v>176</v>
      </c>
      <c r="C3" t="s">
        <v>177</v>
      </c>
      <c r="D3">
        <v>74</v>
      </c>
      <c r="E3" s="2">
        <v>4</v>
      </c>
      <c r="F3">
        <v>114</v>
      </c>
      <c r="G3">
        <v>40</v>
      </c>
      <c r="H3" t="s">
        <v>19</v>
      </c>
    </row>
    <row r="4" spans="1:8">
      <c r="A4">
        <v>3</v>
      </c>
      <c r="B4" t="s">
        <v>214</v>
      </c>
      <c r="C4" t="s">
        <v>215</v>
      </c>
      <c r="D4">
        <v>93</v>
      </c>
      <c r="E4" s="2">
        <v>2</v>
      </c>
      <c r="F4">
        <v>132</v>
      </c>
      <c r="G4">
        <v>39</v>
      </c>
      <c r="H4" t="s">
        <v>19</v>
      </c>
    </row>
    <row r="5" spans="1:8">
      <c r="A5">
        <v>4</v>
      </c>
      <c r="B5" t="s">
        <v>160</v>
      </c>
      <c r="C5" t="s">
        <v>161</v>
      </c>
      <c r="D5">
        <v>66</v>
      </c>
      <c r="E5" s="2">
        <v>6</v>
      </c>
      <c r="F5">
        <v>102</v>
      </c>
      <c r="G5">
        <v>36</v>
      </c>
      <c r="H5" t="s">
        <v>19</v>
      </c>
    </row>
    <row r="6" spans="1:8">
      <c r="A6">
        <v>5</v>
      </c>
      <c r="B6" t="s">
        <v>162</v>
      </c>
      <c r="C6" t="s">
        <v>163</v>
      </c>
      <c r="D6">
        <v>67</v>
      </c>
      <c r="E6" s="2">
        <v>6</v>
      </c>
      <c r="F6">
        <v>102</v>
      </c>
      <c r="G6">
        <v>35</v>
      </c>
      <c r="H6" t="s">
        <v>19</v>
      </c>
    </row>
    <row r="7" spans="1:8">
      <c r="A7">
        <v>6</v>
      </c>
      <c r="B7" t="s">
        <v>248</v>
      </c>
      <c r="C7" t="s">
        <v>249</v>
      </c>
      <c r="D7">
        <v>110</v>
      </c>
      <c r="E7" s="2">
        <v>1</v>
      </c>
      <c r="F7">
        <v>145</v>
      </c>
      <c r="G7">
        <v>35</v>
      </c>
      <c r="H7" t="s">
        <v>19</v>
      </c>
    </row>
    <row r="8" spans="1:8">
      <c r="A8">
        <v>7</v>
      </c>
      <c r="B8" t="s">
        <v>272</v>
      </c>
      <c r="C8" t="s">
        <v>273</v>
      </c>
      <c r="D8">
        <v>122</v>
      </c>
      <c r="E8" s="2">
        <v>0</v>
      </c>
      <c r="F8">
        <v>153</v>
      </c>
      <c r="G8">
        <v>31</v>
      </c>
      <c r="H8" t="s">
        <v>19</v>
      </c>
    </row>
    <row r="9" spans="1:8">
      <c r="A9">
        <v>8</v>
      </c>
      <c r="B9" t="s">
        <v>200</v>
      </c>
      <c r="C9" t="s">
        <v>201</v>
      </c>
      <c r="D9">
        <v>86</v>
      </c>
      <c r="E9" s="2">
        <v>4</v>
      </c>
      <c r="F9">
        <v>114</v>
      </c>
      <c r="G9">
        <v>28</v>
      </c>
      <c r="H9" t="s">
        <v>19</v>
      </c>
    </row>
    <row r="10" spans="1:8">
      <c r="A10">
        <v>9</v>
      </c>
      <c r="B10" t="s">
        <v>280</v>
      </c>
      <c r="C10" t="s">
        <v>281</v>
      </c>
      <c r="D10">
        <v>126</v>
      </c>
      <c r="E10" s="2">
        <v>0</v>
      </c>
      <c r="F10">
        <v>153</v>
      </c>
      <c r="G10">
        <v>27</v>
      </c>
      <c r="H10" t="s">
        <v>19</v>
      </c>
    </row>
    <row r="11" spans="1:8">
      <c r="A11">
        <v>10</v>
      </c>
      <c r="B11" t="s">
        <v>190</v>
      </c>
      <c r="C11" t="s">
        <v>191</v>
      </c>
      <c r="D11">
        <v>81</v>
      </c>
      <c r="E11" s="2">
        <v>5</v>
      </c>
      <c r="F11">
        <v>107</v>
      </c>
      <c r="G11">
        <v>26</v>
      </c>
      <c r="H11" t="s">
        <v>19</v>
      </c>
    </row>
    <row r="12" spans="1:8">
      <c r="A12">
        <v>11</v>
      </c>
      <c r="B12" t="s">
        <v>204</v>
      </c>
      <c r="C12" t="s">
        <v>205</v>
      </c>
      <c r="D12">
        <v>88</v>
      </c>
      <c r="E12" s="2">
        <v>4</v>
      </c>
      <c r="F12">
        <v>114</v>
      </c>
      <c r="G12">
        <v>26</v>
      </c>
      <c r="H12" t="s">
        <v>19</v>
      </c>
    </row>
    <row r="13" spans="1:8">
      <c r="A13">
        <v>12</v>
      </c>
      <c r="B13" t="s">
        <v>240</v>
      </c>
      <c r="C13" t="s">
        <v>241</v>
      </c>
      <c r="D13">
        <v>106</v>
      </c>
      <c r="E13" s="2">
        <v>2</v>
      </c>
      <c r="F13">
        <v>132</v>
      </c>
      <c r="G13">
        <v>26</v>
      </c>
      <c r="H13" t="s">
        <v>19</v>
      </c>
    </row>
    <row r="14" spans="1:8">
      <c r="A14">
        <v>13</v>
      </c>
      <c r="B14" t="s">
        <v>266</v>
      </c>
      <c r="C14" t="s">
        <v>267</v>
      </c>
      <c r="D14">
        <v>119</v>
      </c>
      <c r="E14" s="2">
        <v>1</v>
      </c>
      <c r="F14">
        <v>145</v>
      </c>
      <c r="G14">
        <v>26</v>
      </c>
      <c r="H14" t="s">
        <v>19</v>
      </c>
    </row>
    <row r="15" spans="1:8">
      <c r="A15">
        <v>14</v>
      </c>
      <c r="B15" t="s">
        <v>268</v>
      </c>
      <c r="C15" t="s">
        <v>269</v>
      </c>
      <c r="D15">
        <v>120</v>
      </c>
      <c r="E15" s="2">
        <v>1</v>
      </c>
      <c r="F15">
        <v>145</v>
      </c>
      <c r="G15">
        <v>25</v>
      </c>
      <c r="H15" t="s">
        <v>19</v>
      </c>
    </row>
    <row r="16" spans="1:8">
      <c r="A16">
        <v>15</v>
      </c>
      <c r="B16" t="s">
        <v>143</v>
      </c>
      <c r="C16" t="s">
        <v>144</v>
      </c>
      <c r="D16">
        <v>58</v>
      </c>
      <c r="E16" s="2">
        <v>9</v>
      </c>
      <c r="F16">
        <v>81</v>
      </c>
      <c r="G16">
        <v>23</v>
      </c>
      <c r="H16" t="s">
        <v>19</v>
      </c>
    </row>
    <row r="17" spans="1:8">
      <c r="A17">
        <v>16</v>
      </c>
      <c r="B17" t="s">
        <v>236</v>
      </c>
      <c r="C17" t="s">
        <v>237</v>
      </c>
      <c r="D17">
        <v>104</v>
      </c>
      <c r="E17" s="2">
        <v>3</v>
      </c>
      <c r="F17">
        <v>126</v>
      </c>
      <c r="G17">
        <v>22</v>
      </c>
      <c r="H17" t="s">
        <v>19</v>
      </c>
    </row>
    <row r="18" spans="1:8">
      <c r="A18">
        <v>17</v>
      </c>
      <c r="B18" t="s">
        <v>296</v>
      </c>
      <c r="C18" t="s">
        <v>297</v>
      </c>
      <c r="D18">
        <v>134</v>
      </c>
      <c r="E18" s="2">
        <v>0</v>
      </c>
      <c r="F18">
        <v>153</v>
      </c>
      <c r="G18">
        <v>19</v>
      </c>
      <c r="H18" t="s">
        <v>19</v>
      </c>
    </row>
    <row r="19" spans="1:8">
      <c r="A19">
        <v>18</v>
      </c>
      <c r="B19" t="s">
        <v>154</v>
      </c>
      <c r="C19" t="s">
        <v>155</v>
      </c>
      <c r="D19">
        <v>63</v>
      </c>
      <c r="E19" s="2">
        <v>9</v>
      </c>
      <c r="F19">
        <v>81</v>
      </c>
      <c r="G19">
        <v>18</v>
      </c>
      <c r="H19" t="s">
        <v>19</v>
      </c>
    </row>
    <row r="20" spans="1:8">
      <c r="A20">
        <v>19</v>
      </c>
      <c r="B20" t="s">
        <v>198</v>
      </c>
      <c r="C20" t="s">
        <v>199</v>
      </c>
      <c r="D20">
        <v>85</v>
      </c>
      <c r="E20" s="2">
        <v>6</v>
      </c>
      <c r="F20">
        <v>102</v>
      </c>
      <c r="G20">
        <v>17</v>
      </c>
      <c r="H20" t="s">
        <v>19</v>
      </c>
    </row>
    <row r="21" spans="1:8">
      <c r="A21">
        <v>20</v>
      </c>
      <c r="B21" t="s">
        <v>222</v>
      </c>
      <c r="C21" t="s">
        <v>223</v>
      </c>
      <c r="D21">
        <v>97</v>
      </c>
      <c r="E21" s="2">
        <v>4</v>
      </c>
      <c r="F21">
        <v>114</v>
      </c>
      <c r="G21">
        <v>17</v>
      </c>
      <c r="H21" t="s">
        <v>19</v>
      </c>
    </row>
    <row r="22" spans="1:8">
      <c r="A22">
        <v>21</v>
      </c>
      <c r="B22" t="s">
        <v>86</v>
      </c>
      <c r="C22" t="s">
        <v>87</v>
      </c>
      <c r="D22">
        <v>30</v>
      </c>
      <c r="E22" s="2">
        <v>21</v>
      </c>
      <c r="F22">
        <v>46</v>
      </c>
      <c r="G22">
        <v>16</v>
      </c>
      <c r="H22" t="s">
        <v>19</v>
      </c>
    </row>
    <row r="23" spans="1:8">
      <c r="A23">
        <v>22</v>
      </c>
      <c r="B23" t="s">
        <v>224</v>
      </c>
      <c r="C23" t="s">
        <v>225</v>
      </c>
      <c r="D23">
        <v>98</v>
      </c>
      <c r="E23" s="2">
        <v>4</v>
      </c>
      <c r="F23">
        <v>114</v>
      </c>
      <c r="G23">
        <v>16</v>
      </c>
      <c r="H23" t="s">
        <v>19</v>
      </c>
    </row>
    <row r="24" spans="1:8">
      <c r="A24">
        <v>23</v>
      </c>
      <c r="B24" t="s">
        <v>302</v>
      </c>
      <c r="C24" t="s">
        <v>303</v>
      </c>
      <c r="D24">
        <v>137</v>
      </c>
      <c r="E24" s="2">
        <v>0</v>
      </c>
      <c r="F24">
        <v>153</v>
      </c>
      <c r="G24">
        <v>16</v>
      </c>
      <c r="H24" t="s">
        <v>19</v>
      </c>
    </row>
    <row r="25" spans="1:8">
      <c r="A25">
        <v>24</v>
      </c>
      <c r="B25" t="s">
        <v>98</v>
      </c>
      <c r="C25" t="s">
        <v>99</v>
      </c>
      <c r="D25">
        <v>36</v>
      </c>
      <c r="E25" s="2">
        <v>17</v>
      </c>
      <c r="F25">
        <v>51</v>
      </c>
      <c r="G25">
        <v>15</v>
      </c>
      <c r="H25" t="s">
        <v>19</v>
      </c>
    </row>
    <row r="26" spans="1:8">
      <c r="A26">
        <v>25</v>
      </c>
      <c r="B26" t="s">
        <v>123</v>
      </c>
      <c r="C26" t="s">
        <v>124</v>
      </c>
      <c r="D26">
        <v>48</v>
      </c>
      <c r="E26" s="2">
        <v>14</v>
      </c>
      <c r="F26">
        <v>63</v>
      </c>
      <c r="G26">
        <v>15</v>
      </c>
      <c r="H26" t="s">
        <v>19</v>
      </c>
    </row>
    <row r="27" spans="1:8">
      <c r="A27">
        <v>26</v>
      </c>
      <c r="B27" t="s">
        <v>184</v>
      </c>
      <c r="C27" t="s">
        <v>185</v>
      </c>
      <c r="D27">
        <v>78</v>
      </c>
      <c r="E27" s="2">
        <v>7</v>
      </c>
      <c r="F27">
        <v>93</v>
      </c>
      <c r="G27">
        <v>15</v>
      </c>
      <c r="H27" t="s">
        <v>19</v>
      </c>
    </row>
    <row r="28" spans="1:8">
      <c r="A28">
        <v>27</v>
      </c>
      <c r="B28" t="s">
        <v>212</v>
      </c>
      <c r="C28" t="s">
        <v>213</v>
      </c>
      <c r="D28">
        <v>92</v>
      </c>
      <c r="E28" s="2">
        <v>5</v>
      </c>
      <c r="F28">
        <v>107</v>
      </c>
      <c r="G28">
        <v>15</v>
      </c>
      <c r="H28" t="s">
        <v>19</v>
      </c>
    </row>
    <row r="29" spans="1:8">
      <c r="A29">
        <v>28</v>
      </c>
      <c r="B29" t="s">
        <v>113</v>
      </c>
      <c r="C29" t="s">
        <v>114</v>
      </c>
      <c r="D29">
        <v>43</v>
      </c>
      <c r="E29" s="2">
        <v>15</v>
      </c>
      <c r="F29">
        <v>57</v>
      </c>
      <c r="G29">
        <v>14</v>
      </c>
      <c r="H29" t="s">
        <v>24</v>
      </c>
    </row>
    <row r="30" spans="1:8">
      <c r="A30">
        <v>29</v>
      </c>
      <c r="B30" t="s">
        <v>306</v>
      </c>
      <c r="C30" t="s">
        <v>307</v>
      </c>
      <c r="D30">
        <v>139</v>
      </c>
      <c r="E30" s="2">
        <v>0</v>
      </c>
      <c r="F30">
        <v>153</v>
      </c>
      <c r="G30">
        <v>14</v>
      </c>
      <c r="H30" t="s">
        <v>24</v>
      </c>
    </row>
    <row r="31" spans="1:8">
      <c r="A31">
        <v>30</v>
      </c>
      <c r="B31" t="s">
        <v>164</v>
      </c>
      <c r="C31" t="s">
        <v>165</v>
      </c>
      <c r="D31">
        <v>68</v>
      </c>
      <c r="E31" s="2">
        <v>9</v>
      </c>
      <c r="F31">
        <v>81</v>
      </c>
      <c r="G31">
        <v>13</v>
      </c>
      <c r="H31" t="s">
        <v>24</v>
      </c>
    </row>
    <row r="32" spans="1:8">
      <c r="A32">
        <v>31</v>
      </c>
      <c r="B32" t="s">
        <v>178</v>
      </c>
      <c r="C32" t="s">
        <v>179</v>
      </c>
      <c r="D32">
        <v>75</v>
      </c>
      <c r="E32" s="2">
        <v>8</v>
      </c>
      <c r="F32">
        <v>88</v>
      </c>
      <c r="G32">
        <v>13</v>
      </c>
      <c r="H32" t="s">
        <v>24</v>
      </c>
    </row>
    <row r="33" spans="1:8">
      <c r="A33">
        <v>32</v>
      </c>
      <c r="B33" t="s">
        <v>188</v>
      </c>
      <c r="C33" t="s">
        <v>189</v>
      </c>
      <c r="D33">
        <v>80</v>
      </c>
      <c r="E33" s="2">
        <v>7</v>
      </c>
      <c r="F33">
        <v>93</v>
      </c>
      <c r="G33">
        <v>13</v>
      </c>
      <c r="H33" t="s">
        <v>24</v>
      </c>
    </row>
    <row r="34" spans="1:8">
      <c r="A34">
        <v>33</v>
      </c>
      <c r="B34" t="s">
        <v>292</v>
      </c>
      <c r="C34" t="s">
        <v>293</v>
      </c>
      <c r="D34">
        <v>132</v>
      </c>
      <c r="E34" s="2">
        <v>1</v>
      </c>
      <c r="F34">
        <v>145</v>
      </c>
      <c r="G34">
        <v>13</v>
      </c>
      <c r="H34" t="s">
        <v>24</v>
      </c>
    </row>
    <row r="35" spans="1:8">
      <c r="A35">
        <v>34</v>
      </c>
      <c r="B35" t="s">
        <v>308</v>
      </c>
      <c r="C35" t="s">
        <v>309</v>
      </c>
      <c r="D35">
        <v>140</v>
      </c>
      <c r="E35" s="2">
        <v>0</v>
      </c>
      <c r="F35">
        <v>153</v>
      </c>
      <c r="G35">
        <v>13</v>
      </c>
      <c r="H35" t="s">
        <v>24</v>
      </c>
    </row>
    <row r="36" spans="1:8">
      <c r="A36">
        <v>35</v>
      </c>
      <c r="B36" t="s">
        <v>53</v>
      </c>
      <c r="C36" t="s">
        <v>54</v>
      </c>
      <c r="D36">
        <v>15</v>
      </c>
      <c r="E36" s="2">
        <v>29</v>
      </c>
      <c r="F36">
        <v>27</v>
      </c>
      <c r="G36">
        <v>12</v>
      </c>
      <c r="H36" t="s">
        <v>24</v>
      </c>
    </row>
    <row r="37" spans="1:8">
      <c r="A37">
        <v>36</v>
      </c>
      <c r="B37" t="s">
        <v>119</v>
      </c>
      <c r="C37" t="s">
        <v>120</v>
      </c>
      <c r="D37">
        <v>46</v>
      </c>
      <c r="E37" s="2">
        <v>15</v>
      </c>
      <c r="F37">
        <v>57</v>
      </c>
      <c r="G37">
        <v>11</v>
      </c>
      <c r="H37" t="s">
        <v>24</v>
      </c>
    </row>
    <row r="38" spans="1:8">
      <c r="A38">
        <v>37</v>
      </c>
      <c r="B38" t="s">
        <v>312</v>
      </c>
      <c r="C38" t="s">
        <v>313</v>
      </c>
      <c r="D38">
        <v>142</v>
      </c>
      <c r="E38" s="2">
        <v>0</v>
      </c>
      <c r="F38">
        <v>153</v>
      </c>
      <c r="G38">
        <v>11</v>
      </c>
      <c r="H38" t="s">
        <v>24</v>
      </c>
    </row>
    <row r="39" spans="1:8">
      <c r="A39">
        <v>38</v>
      </c>
      <c r="B39" t="s">
        <v>78</v>
      </c>
      <c r="C39" t="s">
        <v>79</v>
      </c>
      <c r="D39">
        <v>26</v>
      </c>
      <c r="E39" s="2">
        <v>25</v>
      </c>
      <c r="F39">
        <v>35</v>
      </c>
      <c r="G39">
        <v>9</v>
      </c>
      <c r="H39" t="s">
        <v>24</v>
      </c>
    </row>
    <row r="40" spans="1:8">
      <c r="A40">
        <v>39</v>
      </c>
      <c r="B40" t="s">
        <v>274</v>
      </c>
      <c r="C40" t="s">
        <v>275</v>
      </c>
      <c r="D40">
        <v>123</v>
      </c>
      <c r="E40" s="2">
        <v>2</v>
      </c>
      <c r="F40">
        <v>132</v>
      </c>
      <c r="G40">
        <v>9</v>
      </c>
      <c r="H40" t="s">
        <v>24</v>
      </c>
    </row>
    <row r="41" spans="1:8">
      <c r="A41">
        <v>40</v>
      </c>
      <c r="B41" t="s">
        <v>300</v>
      </c>
      <c r="C41" t="s">
        <v>301</v>
      </c>
      <c r="D41">
        <v>136</v>
      </c>
      <c r="E41" s="2">
        <v>1</v>
      </c>
      <c r="F41">
        <v>145</v>
      </c>
      <c r="G41">
        <v>9</v>
      </c>
      <c r="H41" t="s">
        <v>24</v>
      </c>
    </row>
    <row r="42" spans="1:8">
      <c r="A42">
        <v>41</v>
      </c>
      <c r="B42" t="s">
        <v>63</v>
      </c>
      <c r="C42" t="s">
        <v>64</v>
      </c>
      <c r="D42">
        <v>19</v>
      </c>
      <c r="E42" s="2">
        <v>29</v>
      </c>
      <c r="F42">
        <v>27</v>
      </c>
      <c r="G42">
        <v>8</v>
      </c>
      <c r="H42" t="s">
        <v>24</v>
      </c>
    </row>
    <row r="43" spans="1:8">
      <c r="A43">
        <v>42</v>
      </c>
      <c r="B43" t="s">
        <v>107</v>
      </c>
      <c r="C43" t="s">
        <v>108</v>
      </c>
      <c r="D43">
        <v>40</v>
      </c>
      <c r="E43" s="2">
        <v>20</v>
      </c>
      <c r="F43">
        <v>48</v>
      </c>
      <c r="G43">
        <v>8</v>
      </c>
      <c r="H43" t="s">
        <v>24</v>
      </c>
    </row>
    <row r="44" spans="1:8">
      <c r="A44">
        <v>43</v>
      </c>
      <c r="B44" t="s">
        <v>121</v>
      </c>
      <c r="C44" t="s">
        <v>122</v>
      </c>
      <c r="D44">
        <v>47</v>
      </c>
      <c r="E44" s="2">
        <v>16</v>
      </c>
      <c r="F44">
        <v>54</v>
      </c>
      <c r="G44">
        <v>7</v>
      </c>
      <c r="H44" t="s">
        <v>24</v>
      </c>
    </row>
    <row r="45" spans="1:8">
      <c r="A45">
        <v>44</v>
      </c>
      <c r="B45" t="s">
        <v>278</v>
      </c>
      <c r="C45" t="s">
        <v>279</v>
      </c>
      <c r="D45">
        <v>125</v>
      </c>
      <c r="E45" s="2">
        <v>2</v>
      </c>
      <c r="F45">
        <v>132</v>
      </c>
      <c r="G45">
        <v>7</v>
      </c>
      <c r="H45" t="s">
        <v>24</v>
      </c>
    </row>
    <row r="46" spans="1:8">
      <c r="A46">
        <v>45</v>
      </c>
      <c r="B46" t="s">
        <v>320</v>
      </c>
      <c r="C46" t="s">
        <v>321</v>
      </c>
      <c r="D46">
        <v>146</v>
      </c>
      <c r="E46" s="2">
        <v>0</v>
      </c>
      <c r="F46">
        <v>153</v>
      </c>
      <c r="G46">
        <v>7</v>
      </c>
      <c r="H46" t="s">
        <v>24</v>
      </c>
    </row>
    <row r="47" spans="1:8">
      <c r="A47">
        <v>46</v>
      </c>
      <c r="B47" t="s">
        <v>47</v>
      </c>
      <c r="C47" t="s">
        <v>48</v>
      </c>
      <c r="D47">
        <v>12</v>
      </c>
      <c r="E47" s="2">
        <v>32</v>
      </c>
      <c r="F47">
        <v>18</v>
      </c>
      <c r="G47">
        <v>6</v>
      </c>
      <c r="H47" t="s">
        <v>24</v>
      </c>
    </row>
    <row r="48" spans="1:8">
      <c r="A48">
        <v>47</v>
      </c>
      <c r="B48" t="s">
        <v>101</v>
      </c>
      <c r="C48" t="s">
        <v>102</v>
      </c>
      <c r="D48">
        <v>37</v>
      </c>
      <c r="E48" s="2">
        <v>22</v>
      </c>
      <c r="F48">
        <v>43</v>
      </c>
      <c r="G48">
        <v>6</v>
      </c>
      <c r="H48" t="s">
        <v>24</v>
      </c>
    </row>
    <row r="49" spans="1:8">
      <c r="A49">
        <v>48</v>
      </c>
      <c r="B49" t="s">
        <v>117</v>
      </c>
      <c r="C49" t="s">
        <v>118</v>
      </c>
      <c r="D49">
        <v>45</v>
      </c>
      <c r="E49" s="2">
        <v>17</v>
      </c>
      <c r="F49">
        <v>51</v>
      </c>
      <c r="G49">
        <v>6</v>
      </c>
      <c r="H49" t="s">
        <v>24</v>
      </c>
    </row>
    <row r="50" spans="1:8">
      <c r="A50">
        <v>49</v>
      </c>
      <c r="B50" t="s">
        <v>192</v>
      </c>
      <c r="C50" t="s">
        <v>193</v>
      </c>
      <c r="D50">
        <v>82</v>
      </c>
      <c r="E50" s="2">
        <v>8</v>
      </c>
      <c r="F50">
        <v>88</v>
      </c>
      <c r="G50">
        <v>6</v>
      </c>
      <c r="H50" t="s">
        <v>24</v>
      </c>
    </row>
    <row r="51" spans="1:8">
      <c r="A51">
        <v>50</v>
      </c>
      <c r="B51" t="s">
        <v>322</v>
      </c>
      <c r="C51" t="s">
        <v>323</v>
      </c>
      <c r="D51">
        <v>147</v>
      </c>
      <c r="E51" s="2">
        <v>0</v>
      </c>
      <c r="F51">
        <v>153</v>
      </c>
      <c r="G51">
        <v>6</v>
      </c>
      <c r="H51" t="s">
        <v>24</v>
      </c>
    </row>
    <row r="52" spans="1:8">
      <c r="A52">
        <v>51</v>
      </c>
      <c r="B52" t="s">
        <v>174</v>
      </c>
      <c r="C52" t="s">
        <v>175</v>
      </c>
      <c r="D52">
        <v>73</v>
      </c>
      <c r="E52" s="2">
        <v>11</v>
      </c>
      <c r="F52">
        <v>78</v>
      </c>
      <c r="G52">
        <v>5</v>
      </c>
      <c r="H52" t="s">
        <v>24</v>
      </c>
    </row>
    <row r="53" spans="1:8">
      <c r="A53">
        <v>52</v>
      </c>
      <c r="B53" t="s">
        <v>324</v>
      </c>
      <c r="C53" t="s">
        <v>325</v>
      </c>
      <c r="D53">
        <v>148</v>
      </c>
      <c r="E53" s="2">
        <v>0</v>
      </c>
      <c r="F53">
        <v>153</v>
      </c>
      <c r="G53">
        <v>5</v>
      </c>
      <c r="H53" t="s">
        <v>24</v>
      </c>
    </row>
    <row r="54" spans="1:8">
      <c r="A54">
        <v>53</v>
      </c>
      <c r="B54" t="s">
        <v>43</v>
      </c>
      <c r="C54" t="s">
        <v>44</v>
      </c>
      <c r="D54">
        <v>10</v>
      </c>
      <c r="E54" s="2">
        <v>34</v>
      </c>
      <c r="F54">
        <v>14</v>
      </c>
      <c r="G54">
        <v>4</v>
      </c>
      <c r="H54" t="s">
        <v>13</v>
      </c>
    </row>
    <row r="55" spans="1:8">
      <c r="A55">
        <v>54</v>
      </c>
      <c r="B55" t="s">
        <v>45</v>
      </c>
      <c r="C55" t="s">
        <v>46</v>
      </c>
      <c r="D55">
        <v>11</v>
      </c>
      <c r="E55" s="2">
        <v>33</v>
      </c>
      <c r="F55">
        <v>15</v>
      </c>
      <c r="G55">
        <v>4</v>
      </c>
      <c r="H55" t="s">
        <v>13</v>
      </c>
    </row>
    <row r="56" spans="1:8">
      <c r="A56">
        <v>55</v>
      </c>
      <c r="B56" t="s">
        <v>60</v>
      </c>
      <c r="C56" t="s">
        <v>61</v>
      </c>
      <c r="D56">
        <v>18</v>
      </c>
      <c r="E56" s="2">
        <v>31</v>
      </c>
      <c r="F56">
        <v>22</v>
      </c>
      <c r="G56">
        <v>4</v>
      </c>
      <c r="H56" t="s">
        <v>13</v>
      </c>
    </row>
    <row r="57" spans="1:8">
      <c r="A57">
        <v>56</v>
      </c>
      <c r="B57" t="s">
        <v>71</v>
      </c>
      <c r="C57" t="s">
        <v>72</v>
      </c>
      <c r="D57">
        <v>23</v>
      </c>
      <c r="E57" s="2">
        <v>29</v>
      </c>
      <c r="F57">
        <v>27</v>
      </c>
      <c r="G57">
        <v>4</v>
      </c>
      <c r="H57" t="s">
        <v>13</v>
      </c>
    </row>
    <row r="58" spans="1:8">
      <c r="A58">
        <v>57</v>
      </c>
      <c r="B58" t="s">
        <v>326</v>
      </c>
      <c r="C58" t="s">
        <v>327</v>
      </c>
      <c r="D58">
        <v>149</v>
      </c>
      <c r="E58" s="2">
        <v>0</v>
      </c>
      <c r="F58">
        <v>153</v>
      </c>
      <c r="G58">
        <v>4</v>
      </c>
      <c r="H58" t="s">
        <v>13</v>
      </c>
    </row>
    <row r="59" spans="1:8">
      <c r="A59">
        <v>58</v>
      </c>
      <c r="B59" t="s">
        <v>88</v>
      </c>
      <c r="C59" t="s">
        <v>89</v>
      </c>
      <c r="D59">
        <v>31</v>
      </c>
      <c r="E59" s="2">
        <v>26</v>
      </c>
      <c r="F59">
        <v>34</v>
      </c>
      <c r="G59">
        <v>3</v>
      </c>
      <c r="H59" t="s">
        <v>13</v>
      </c>
    </row>
    <row r="60" spans="1:8">
      <c r="A60">
        <v>59</v>
      </c>
      <c r="B60" t="s">
        <v>92</v>
      </c>
      <c r="C60" t="s">
        <v>93</v>
      </c>
      <c r="D60">
        <v>33</v>
      </c>
      <c r="E60" s="2">
        <v>24</v>
      </c>
      <c r="F60">
        <v>36</v>
      </c>
      <c r="G60">
        <v>3</v>
      </c>
      <c r="H60" t="s">
        <v>13</v>
      </c>
    </row>
    <row r="61" spans="1:8">
      <c r="A61">
        <v>60</v>
      </c>
      <c r="B61" t="s">
        <v>286</v>
      </c>
      <c r="C61" t="s">
        <v>287</v>
      </c>
      <c r="D61">
        <v>129</v>
      </c>
      <c r="E61" s="2">
        <v>2</v>
      </c>
      <c r="F61">
        <v>132</v>
      </c>
      <c r="G61">
        <v>3</v>
      </c>
      <c r="H61" t="s">
        <v>13</v>
      </c>
    </row>
    <row r="62" spans="1:8">
      <c r="A62">
        <v>61</v>
      </c>
      <c r="B62" t="s">
        <v>328</v>
      </c>
      <c r="C62" t="s">
        <v>329</v>
      </c>
      <c r="D62">
        <v>150</v>
      </c>
      <c r="E62" s="2">
        <v>0</v>
      </c>
      <c r="F62">
        <v>153</v>
      </c>
      <c r="G62">
        <v>3</v>
      </c>
      <c r="H62" t="s">
        <v>13</v>
      </c>
    </row>
    <row r="63" spans="1:8">
      <c r="A63">
        <v>62</v>
      </c>
      <c r="B63" t="s">
        <v>36</v>
      </c>
      <c r="C63" t="s">
        <v>37</v>
      </c>
      <c r="D63">
        <v>7</v>
      </c>
      <c r="E63" s="2">
        <v>45</v>
      </c>
      <c r="F63">
        <v>9</v>
      </c>
      <c r="G63">
        <v>2</v>
      </c>
      <c r="H63" t="s">
        <v>13</v>
      </c>
    </row>
    <row r="64" spans="1:8">
      <c r="A64">
        <v>63</v>
      </c>
      <c r="B64" t="s">
        <v>56</v>
      </c>
      <c r="C64" t="s">
        <v>57</v>
      </c>
      <c r="D64">
        <v>16</v>
      </c>
      <c r="E64" s="2">
        <v>32</v>
      </c>
      <c r="F64">
        <v>18</v>
      </c>
      <c r="G64">
        <v>2</v>
      </c>
      <c r="H64" t="s">
        <v>13</v>
      </c>
    </row>
    <row r="65" spans="1:8">
      <c r="A65">
        <v>64</v>
      </c>
      <c r="B65" t="s">
        <v>82</v>
      </c>
      <c r="C65" t="s">
        <v>83</v>
      </c>
      <c r="D65">
        <v>28</v>
      </c>
      <c r="E65" s="2">
        <v>28</v>
      </c>
      <c r="F65">
        <v>30</v>
      </c>
      <c r="G65">
        <v>2</v>
      </c>
      <c r="H65" t="s">
        <v>13</v>
      </c>
    </row>
    <row r="66" spans="1:8">
      <c r="A66">
        <v>65</v>
      </c>
      <c r="B66" t="s">
        <v>125</v>
      </c>
      <c r="C66" t="s">
        <v>126</v>
      </c>
      <c r="D66">
        <v>49</v>
      </c>
      <c r="E66" s="2">
        <v>17</v>
      </c>
      <c r="F66">
        <v>51</v>
      </c>
      <c r="G66">
        <v>2</v>
      </c>
      <c r="H66" t="s">
        <v>13</v>
      </c>
    </row>
    <row r="67" spans="1:8">
      <c r="A67">
        <v>66</v>
      </c>
      <c r="B67" t="s">
        <v>150</v>
      </c>
      <c r="C67" t="s">
        <v>151</v>
      </c>
      <c r="D67">
        <v>61</v>
      </c>
      <c r="E67" s="2">
        <v>14</v>
      </c>
      <c r="F67">
        <v>63</v>
      </c>
      <c r="G67">
        <v>2</v>
      </c>
      <c r="H67" t="s">
        <v>13</v>
      </c>
    </row>
    <row r="68" spans="1:8">
      <c r="A68">
        <v>67</v>
      </c>
      <c r="B68" t="s">
        <v>20</v>
      </c>
      <c r="C68" t="s">
        <v>21</v>
      </c>
      <c r="D68">
        <v>3</v>
      </c>
      <c r="E68" s="2">
        <v>51</v>
      </c>
      <c r="F68">
        <v>4</v>
      </c>
      <c r="G68">
        <v>1</v>
      </c>
      <c r="H68" t="s">
        <v>13</v>
      </c>
    </row>
    <row r="69" spans="1:8">
      <c r="A69">
        <v>68</v>
      </c>
      <c r="B69" t="s">
        <v>32</v>
      </c>
      <c r="C69" t="s">
        <v>33</v>
      </c>
      <c r="D69">
        <v>6</v>
      </c>
      <c r="E69" s="2">
        <v>47</v>
      </c>
      <c r="F69">
        <v>7</v>
      </c>
      <c r="G69">
        <v>1</v>
      </c>
      <c r="H69" t="s">
        <v>13</v>
      </c>
    </row>
    <row r="70" spans="1:8">
      <c r="A70">
        <v>69</v>
      </c>
      <c r="B70" t="s">
        <v>40</v>
      </c>
      <c r="C70" t="s">
        <v>41</v>
      </c>
      <c r="D70">
        <v>9</v>
      </c>
      <c r="E70" s="2">
        <v>40</v>
      </c>
      <c r="F70">
        <v>10</v>
      </c>
      <c r="G70">
        <v>1</v>
      </c>
      <c r="H70" t="s">
        <v>13</v>
      </c>
    </row>
    <row r="71" spans="1:8">
      <c r="A71">
        <v>70</v>
      </c>
      <c r="B71" t="s">
        <v>51</v>
      </c>
      <c r="C71" t="s">
        <v>52</v>
      </c>
      <c r="D71">
        <v>14</v>
      </c>
      <c r="E71" s="2">
        <v>33</v>
      </c>
      <c r="F71">
        <v>15</v>
      </c>
      <c r="G71">
        <v>1</v>
      </c>
      <c r="H71" t="s">
        <v>13</v>
      </c>
    </row>
    <row r="72" spans="1:8">
      <c r="A72">
        <v>71</v>
      </c>
      <c r="B72" t="s">
        <v>69</v>
      </c>
      <c r="C72" t="s">
        <v>70</v>
      </c>
      <c r="D72">
        <v>22</v>
      </c>
      <c r="E72" s="2">
        <v>30</v>
      </c>
      <c r="F72">
        <v>23</v>
      </c>
      <c r="G72">
        <v>1</v>
      </c>
      <c r="H72" t="s">
        <v>13</v>
      </c>
    </row>
    <row r="73" spans="1:8">
      <c r="A73">
        <v>72</v>
      </c>
      <c r="B73" t="s">
        <v>84</v>
      </c>
      <c r="C73" t="s">
        <v>85</v>
      </c>
      <c r="D73">
        <v>29</v>
      </c>
      <c r="E73" s="2">
        <v>28</v>
      </c>
      <c r="F73">
        <v>30</v>
      </c>
      <c r="G73">
        <v>1</v>
      </c>
      <c r="H73" t="s">
        <v>13</v>
      </c>
    </row>
    <row r="74" spans="1:8">
      <c r="A74">
        <v>73</v>
      </c>
      <c r="B74" t="s">
        <v>10</v>
      </c>
      <c r="C74" t="s">
        <v>11</v>
      </c>
      <c r="D74">
        <v>1</v>
      </c>
      <c r="E74" s="2">
        <v>62</v>
      </c>
      <c r="F74">
        <v>1</v>
      </c>
      <c r="G74">
        <v>0</v>
      </c>
      <c r="H74" t="s">
        <v>13</v>
      </c>
    </row>
    <row r="75" spans="1:8">
      <c r="A75">
        <v>74</v>
      </c>
      <c r="B75" t="s">
        <v>16</v>
      </c>
      <c r="C75" t="s">
        <v>17</v>
      </c>
      <c r="D75">
        <v>2</v>
      </c>
      <c r="E75" s="2">
        <v>59</v>
      </c>
      <c r="F75">
        <v>2</v>
      </c>
      <c r="G75">
        <v>0</v>
      </c>
      <c r="H75" t="s">
        <v>13</v>
      </c>
    </row>
    <row r="76" spans="1:8">
      <c r="A76">
        <v>75</v>
      </c>
      <c r="B76" t="s">
        <v>28</v>
      </c>
      <c r="C76" t="s">
        <v>29</v>
      </c>
      <c r="D76">
        <v>5</v>
      </c>
      <c r="E76" s="2">
        <v>50</v>
      </c>
      <c r="F76">
        <v>5</v>
      </c>
      <c r="G76">
        <v>0</v>
      </c>
      <c r="H76" t="s">
        <v>13</v>
      </c>
    </row>
    <row r="77" spans="1:8">
      <c r="A77">
        <v>76</v>
      </c>
      <c r="B77" t="s">
        <v>49</v>
      </c>
      <c r="C77" t="s">
        <v>50</v>
      </c>
      <c r="D77">
        <v>13</v>
      </c>
      <c r="E77" s="2">
        <v>35</v>
      </c>
      <c r="F77">
        <v>13</v>
      </c>
      <c r="G77">
        <v>0</v>
      </c>
      <c r="H77" t="s">
        <v>13</v>
      </c>
    </row>
    <row r="78" spans="1:8">
      <c r="A78">
        <v>77</v>
      </c>
      <c r="B78" t="s">
        <v>103</v>
      </c>
      <c r="C78" t="s">
        <v>104</v>
      </c>
      <c r="D78">
        <v>38</v>
      </c>
      <c r="E78" s="2">
        <v>23</v>
      </c>
      <c r="F78">
        <v>38</v>
      </c>
      <c r="G78">
        <v>0</v>
      </c>
      <c r="H78" t="s">
        <v>13</v>
      </c>
    </row>
    <row r="79" spans="1:8">
      <c r="A79">
        <v>78</v>
      </c>
      <c r="B79" t="s">
        <v>141</v>
      </c>
      <c r="C79" t="s">
        <v>142</v>
      </c>
      <c r="D79">
        <v>57</v>
      </c>
      <c r="E79" s="2">
        <v>15</v>
      </c>
      <c r="F79">
        <v>57</v>
      </c>
      <c r="G79">
        <v>0</v>
      </c>
      <c r="H79" t="s">
        <v>13</v>
      </c>
    </row>
    <row r="80" spans="1:8">
      <c r="A80">
        <v>79</v>
      </c>
      <c r="B80" t="s">
        <v>25</v>
      </c>
      <c r="C80" t="s">
        <v>26</v>
      </c>
      <c r="D80">
        <v>4</v>
      </c>
      <c r="E80" s="2">
        <v>55</v>
      </c>
      <c r="F80">
        <v>3</v>
      </c>
      <c r="G80">
        <v>-1</v>
      </c>
      <c r="H80" t="s">
        <v>13</v>
      </c>
    </row>
    <row r="81" spans="1:8">
      <c r="A81">
        <v>80</v>
      </c>
      <c r="B81" t="s">
        <v>73</v>
      </c>
      <c r="C81" t="s">
        <v>74</v>
      </c>
      <c r="D81">
        <v>24</v>
      </c>
      <c r="E81" s="2">
        <v>30</v>
      </c>
      <c r="F81">
        <v>23</v>
      </c>
      <c r="G81">
        <v>-1</v>
      </c>
      <c r="H81" t="s">
        <v>13</v>
      </c>
    </row>
    <row r="82" spans="1:8">
      <c r="A82">
        <v>81</v>
      </c>
      <c r="B82" t="s">
        <v>137</v>
      </c>
      <c r="C82" t="s">
        <v>138</v>
      </c>
      <c r="D82">
        <v>55</v>
      </c>
      <c r="E82" s="2">
        <v>16</v>
      </c>
      <c r="F82">
        <v>54</v>
      </c>
      <c r="G82">
        <v>-1</v>
      </c>
      <c r="H82" t="s">
        <v>13</v>
      </c>
    </row>
    <row r="83" spans="1:8">
      <c r="A83">
        <v>82</v>
      </c>
      <c r="B83" t="s">
        <v>146</v>
      </c>
      <c r="C83" t="s">
        <v>147</v>
      </c>
      <c r="D83">
        <v>59</v>
      </c>
      <c r="E83" s="2">
        <v>15</v>
      </c>
      <c r="F83">
        <v>57</v>
      </c>
      <c r="G83">
        <v>-2</v>
      </c>
      <c r="H83" t="s">
        <v>13</v>
      </c>
    </row>
    <row r="84" spans="1:8">
      <c r="A84">
        <v>83</v>
      </c>
      <c r="B84" t="s">
        <v>158</v>
      </c>
      <c r="C84" t="s">
        <v>159</v>
      </c>
      <c r="D84">
        <v>65</v>
      </c>
      <c r="E84" s="2">
        <v>14</v>
      </c>
      <c r="F84">
        <v>63</v>
      </c>
      <c r="G84">
        <v>-2</v>
      </c>
      <c r="H84" t="s">
        <v>13</v>
      </c>
    </row>
    <row r="85" spans="1:8">
      <c r="A85">
        <v>84</v>
      </c>
      <c r="B85" t="s">
        <v>166</v>
      </c>
      <c r="C85" t="s">
        <v>167</v>
      </c>
      <c r="D85">
        <v>69</v>
      </c>
      <c r="E85" s="2">
        <v>13</v>
      </c>
      <c r="F85">
        <v>67</v>
      </c>
      <c r="G85">
        <v>-2</v>
      </c>
      <c r="H85" t="s">
        <v>13</v>
      </c>
    </row>
    <row r="86" spans="1:8">
      <c r="A86">
        <v>85</v>
      </c>
      <c r="B86" t="s">
        <v>246</v>
      </c>
      <c r="C86" t="s">
        <v>247</v>
      </c>
      <c r="D86">
        <v>109</v>
      </c>
      <c r="E86" s="2">
        <v>5</v>
      </c>
      <c r="F86">
        <v>107</v>
      </c>
      <c r="G86">
        <v>-2</v>
      </c>
      <c r="H86" t="s">
        <v>13</v>
      </c>
    </row>
    <row r="87" spans="1:8">
      <c r="A87">
        <v>86</v>
      </c>
      <c r="B87" t="s">
        <v>38</v>
      </c>
      <c r="C87" t="s">
        <v>39</v>
      </c>
      <c r="D87">
        <v>8</v>
      </c>
      <c r="E87" s="2">
        <v>50</v>
      </c>
      <c r="F87">
        <v>5</v>
      </c>
      <c r="G87">
        <v>-3</v>
      </c>
      <c r="H87" t="s">
        <v>13</v>
      </c>
    </row>
    <row r="88" spans="1:8">
      <c r="A88">
        <v>87</v>
      </c>
      <c r="B88" t="s">
        <v>109</v>
      </c>
      <c r="C88" t="s">
        <v>110</v>
      </c>
      <c r="D88">
        <v>41</v>
      </c>
      <c r="E88" s="2">
        <v>23</v>
      </c>
      <c r="F88">
        <v>38</v>
      </c>
      <c r="G88">
        <v>-3</v>
      </c>
      <c r="H88" t="s">
        <v>13</v>
      </c>
    </row>
    <row r="89" spans="1:8">
      <c r="A89">
        <v>88</v>
      </c>
      <c r="B89" t="s">
        <v>168</v>
      </c>
      <c r="C89" t="s">
        <v>169</v>
      </c>
      <c r="D89">
        <v>70</v>
      </c>
      <c r="E89" s="2">
        <v>13</v>
      </c>
      <c r="F89">
        <v>67</v>
      </c>
      <c r="G89">
        <v>-3</v>
      </c>
      <c r="H89" t="s">
        <v>13</v>
      </c>
    </row>
    <row r="90" spans="1:8">
      <c r="A90">
        <v>89</v>
      </c>
      <c r="B90" t="s">
        <v>210</v>
      </c>
      <c r="C90" t="s">
        <v>211</v>
      </c>
      <c r="D90">
        <v>91</v>
      </c>
      <c r="E90" s="2">
        <v>8</v>
      </c>
      <c r="F90">
        <v>88</v>
      </c>
      <c r="G90">
        <v>-3</v>
      </c>
      <c r="H90" t="s">
        <v>13</v>
      </c>
    </row>
    <row r="91" spans="1:8">
      <c r="A91">
        <v>90</v>
      </c>
      <c r="B91" t="s">
        <v>220</v>
      </c>
      <c r="C91" t="s">
        <v>221</v>
      </c>
      <c r="D91">
        <v>96</v>
      </c>
      <c r="E91" s="2">
        <v>7</v>
      </c>
      <c r="F91">
        <v>93</v>
      </c>
      <c r="G91">
        <v>-3</v>
      </c>
      <c r="H91" t="s">
        <v>13</v>
      </c>
    </row>
    <row r="92" spans="1:8">
      <c r="A92">
        <v>91</v>
      </c>
      <c r="B92" t="s">
        <v>262</v>
      </c>
      <c r="C92" t="s">
        <v>263</v>
      </c>
      <c r="D92">
        <v>117</v>
      </c>
      <c r="E92" s="2">
        <v>4</v>
      </c>
      <c r="F92">
        <v>114</v>
      </c>
      <c r="G92">
        <v>-3</v>
      </c>
      <c r="H92" t="s">
        <v>13</v>
      </c>
    </row>
    <row r="93" spans="1:8">
      <c r="A93">
        <v>92</v>
      </c>
      <c r="B93" t="s">
        <v>341</v>
      </c>
      <c r="C93" t="s">
        <v>342</v>
      </c>
      <c r="D93">
        <v>156</v>
      </c>
      <c r="E93" s="2">
        <v>0</v>
      </c>
      <c r="F93">
        <v>153</v>
      </c>
      <c r="G93">
        <v>-3</v>
      </c>
      <c r="H93" t="s">
        <v>13</v>
      </c>
    </row>
    <row r="94" spans="1:8">
      <c r="A94">
        <v>93</v>
      </c>
      <c r="B94" t="s">
        <v>131</v>
      </c>
      <c r="C94" t="s">
        <v>132</v>
      </c>
      <c r="D94">
        <v>52</v>
      </c>
      <c r="E94" s="2">
        <v>20</v>
      </c>
      <c r="F94">
        <v>48</v>
      </c>
      <c r="G94">
        <v>-4</v>
      </c>
      <c r="H94" t="s">
        <v>13</v>
      </c>
    </row>
    <row r="95" spans="1:8">
      <c r="A95">
        <v>94</v>
      </c>
      <c r="B95" t="s">
        <v>170</v>
      </c>
      <c r="C95" t="s">
        <v>171</v>
      </c>
      <c r="D95">
        <v>71</v>
      </c>
      <c r="E95" s="2">
        <v>13</v>
      </c>
      <c r="F95">
        <v>67</v>
      </c>
      <c r="G95">
        <v>-4</v>
      </c>
      <c r="H95" t="s">
        <v>13</v>
      </c>
    </row>
    <row r="96" spans="1:8">
      <c r="A96">
        <v>95</v>
      </c>
      <c r="B96" t="s">
        <v>58</v>
      </c>
      <c r="C96" t="s">
        <v>59</v>
      </c>
      <c r="D96">
        <v>17</v>
      </c>
      <c r="E96" s="2">
        <v>37</v>
      </c>
      <c r="F96">
        <v>12</v>
      </c>
      <c r="G96">
        <v>-5</v>
      </c>
      <c r="H96" t="s">
        <v>31</v>
      </c>
    </row>
    <row r="97" spans="1:8">
      <c r="A97">
        <v>96</v>
      </c>
      <c r="B97" t="s">
        <v>96</v>
      </c>
      <c r="C97" t="s">
        <v>97</v>
      </c>
      <c r="D97">
        <v>35</v>
      </c>
      <c r="E97" s="2">
        <v>28</v>
      </c>
      <c r="F97">
        <v>30</v>
      </c>
      <c r="G97">
        <v>-5</v>
      </c>
      <c r="H97" t="s">
        <v>31</v>
      </c>
    </row>
    <row r="98" spans="1:8">
      <c r="A98">
        <v>97</v>
      </c>
      <c r="B98" t="s">
        <v>172</v>
      </c>
      <c r="C98" t="s">
        <v>173</v>
      </c>
      <c r="D98">
        <v>72</v>
      </c>
      <c r="E98" s="2">
        <v>13</v>
      </c>
      <c r="F98">
        <v>67</v>
      </c>
      <c r="G98">
        <v>-5</v>
      </c>
      <c r="H98" t="s">
        <v>31</v>
      </c>
    </row>
    <row r="99" spans="1:8">
      <c r="A99">
        <v>98</v>
      </c>
      <c r="B99" t="s">
        <v>242</v>
      </c>
      <c r="C99" t="s">
        <v>243</v>
      </c>
      <c r="D99">
        <v>107</v>
      </c>
      <c r="E99" s="2">
        <v>6</v>
      </c>
      <c r="F99">
        <v>102</v>
      </c>
      <c r="G99">
        <v>-5</v>
      </c>
      <c r="H99" t="s">
        <v>31</v>
      </c>
    </row>
    <row r="100" spans="1:8">
      <c r="A100">
        <v>99</v>
      </c>
      <c r="B100" t="s">
        <v>345</v>
      </c>
      <c r="C100" t="s">
        <v>346</v>
      </c>
      <c r="D100">
        <v>158</v>
      </c>
      <c r="E100" s="2">
        <v>0</v>
      </c>
      <c r="F100">
        <v>153</v>
      </c>
      <c r="G100">
        <v>-5</v>
      </c>
      <c r="H100" t="s">
        <v>31</v>
      </c>
    </row>
    <row r="101" spans="1:8">
      <c r="A101">
        <v>100</v>
      </c>
      <c r="B101" t="s">
        <v>115</v>
      </c>
      <c r="C101" t="s">
        <v>116</v>
      </c>
      <c r="D101">
        <v>44</v>
      </c>
      <c r="E101" s="2">
        <v>23</v>
      </c>
      <c r="F101">
        <v>38</v>
      </c>
      <c r="G101">
        <v>-6</v>
      </c>
      <c r="H101" t="s">
        <v>31</v>
      </c>
    </row>
    <row r="102" spans="1:8">
      <c r="A102">
        <v>101</v>
      </c>
      <c r="B102" t="s">
        <v>148</v>
      </c>
      <c r="C102" t="s">
        <v>149</v>
      </c>
      <c r="D102">
        <v>60</v>
      </c>
      <c r="E102" s="2">
        <v>16</v>
      </c>
      <c r="F102">
        <v>54</v>
      </c>
      <c r="G102">
        <v>-6</v>
      </c>
      <c r="H102" t="s">
        <v>31</v>
      </c>
    </row>
    <row r="103" spans="1:8">
      <c r="A103">
        <v>102</v>
      </c>
      <c r="B103" t="s">
        <v>347</v>
      </c>
      <c r="C103" t="s">
        <v>348</v>
      </c>
      <c r="D103">
        <v>159</v>
      </c>
      <c r="E103" s="2">
        <v>0</v>
      </c>
      <c r="F103">
        <v>153</v>
      </c>
      <c r="G103">
        <v>-6</v>
      </c>
      <c r="H103" t="s">
        <v>31</v>
      </c>
    </row>
    <row r="104" spans="1:8">
      <c r="A104">
        <v>103</v>
      </c>
      <c r="B104" t="s">
        <v>75</v>
      </c>
      <c r="C104" t="s">
        <v>76</v>
      </c>
      <c r="D104">
        <v>25</v>
      </c>
      <c r="E104" s="2">
        <v>32</v>
      </c>
      <c r="F104">
        <v>18</v>
      </c>
      <c r="G104">
        <v>-7</v>
      </c>
      <c r="H104" t="s">
        <v>31</v>
      </c>
    </row>
    <row r="105" spans="1:8">
      <c r="A105">
        <v>104</v>
      </c>
      <c r="B105" t="s">
        <v>156</v>
      </c>
      <c r="C105" t="s">
        <v>157</v>
      </c>
      <c r="D105">
        <v>64</v>
      </c>
      <c r="E105" s="2">
        <v>15</v>
      </c>
      <c r="F105">
        <v>57</v>
      </c>
      <c r="G105">
        <v>-7</v>
      </c>
      <c r="H105" t="s">
        <v>31</v>
      </c>
    </row>
    <row r="106" spans="1:8">
      <c r="A106">
        <v>105</v>
      </c>
      <c r="B106" t="s">
        <v>228</v>
      </c>
      <c r="C106" t="s">
        <v>229</v>
      </c>
      <c r="D106">
        <v>100</v>
      </c>
      <c r="E106" s="2">
        <v>7</v>
      </c>
      <c r="F106">
        <v>93</v>
      </c>
      <c r="G106">
        <v>-7</v>
      </c>
      <c r="H106" t="s">
        <v>31</v>
      </c>
    </row>
    <row r="107" spans="1:8">
      <c r="A107">
        <v>106</v>
      </c>
      <c r="B107" t="s">
        <v>294</v>
      </c>
      <c r="C107" t="s">
        <v>295</v>
      </c>
      <c r="D107">
        <v>133</v>
      </c>
      <c r="E107" s="2">
        <v>3</v>
      </c>
      <c r="F107">
        <v>126</v>
      </c>
      <c r="G107">
        <v>-7</v>
      </c>
      <c r="H107" t="s">
        <v>31</v>
      </c>
    </row>
    <row r="108" spans="1:8">
      <c r="A108">
        <v>107</v>
      </c>
      <c r="B108" t="s">
        <v>349</v>
      </c>
      <c r="C108" t="s">
        <v>350</v>
      </c>
      <c r="D108">
        <v>160</v>
      </c>
      <c r="E108" s="2">
        <v>0</v>
      </c>
      <c r="F108">
        <v>153</v>
      </c>
      <c r="G108">
        <v>-7</v>
      </c>
      <c r="H108" t="s">
        <v>31</v>
      </c>
    </row>
    <row r="109" spans="1:8">
      <c r="A109">
        <v>108</v>
      </c>
      <c r="B109" t="s">
        <v>129</v>
      </c>
      <c r="C109" t="s">
        <v>130</v>
      </c>
      <c r="D109">
        <v>51</v>
      </c>
      <c r="E109" s="2">
        <v>22</v>
      </c>
      <c r="F109">
        <v>43</v>
      </c>
      <c r="G109">
        <v>-8</v>
      </c>
      <c r="H109" t="s">
        <v>31</v>
      </c>
    </row>
    <row r="110" spans="1:8">
      <c r="A110">
        <v>109</v>
      </c>
      <c r="B110" t="s">
        <v>258</v>
      </c>
      <c r="C110" t="s">
        <v>259</v>
      </c>
      <c r="D110">
        <v>115</v>
      </c>
      <c r="E110" s="2">
        <v>5</v>
      </c>
      <c r="F110">
        <v>107</v>
      </c>
      <c r="G110">
        <v>-8</v>
      </c>
      <c r="H110" t="s">
        <v>31</v>
      </c>
    </row>
    <row r="111" spans="1:8">
      <c r="A111">
        <v>110</v>
      </c>
      <c r="B111" t="s">
        <v>90</v>
      </c>
      <c r="C111" t="s">
        <v>91</v>
      </c>
      <c r="D111">
        <v>32</v>
      </c>
      <c r="E111" s="2">
        <v>30</v>
      </c>
      <c r="F111">
        <v>23</v>
      </c>
      <c r="G111">
        <v>-9</v>
      </c>
      <c r="H111" t="s">
        <v>31</v>
      </c>
    </row>
    <row r="112" spans="1:8">
      <c r="A112">
        <v>111</v>
      </c>
      <c r="B112" t="s">
        <v>111</v>
      </c>
      <c r="C112" t="s">
        <v>112</v>
      </c>
      <c r="D112">
        <v>42</v>
      </c>
      <c r="E112" s="2">
        <v>27</v>
      </c>
      <c r="F112">
        <v>33</v>
      </c>
      <c r="G112">
        <v>-9</v>
      </c>
      <c r="H112" t="s">
        <v>31</v>
      </c>
    </row>
    <row r="113" spans="1:8">
      <c r="A113">
        <v>112</v>
      </c>
      <c r="B113" t="s">
        <v>232</v>
      </c>
      <c r="C113" t="s">
        <v>233</v>
      </c>
      <c r="D113">
        <v>102</v>
      </c>
      <c r="E113" s="2">
        <v>7</v>
      </c>
      <c r="F113">
        <v>93</v>
      </c>
      <c r="G113">
        <v>-9</v>
      </c>
      <c r="H113" t="s">
        <v>31</v>
      </c>
    </row>
    <row r="114" spans="1:8">
      <c r="A114">
        <v>113</v>
      </c>
      <c r="B114" t="s">
        <v>298</v>
      </c>
      <c r="C114" t="s">
        <v>299</v>
      </c>
      <c r="D114">
        <v>135</v>
      </c>
      <c r="E114" s="2">
        <v>3</v>
      </c>
      <c r="F114">
        <v>126</v>
      </c>
      <c r="G114">
        <v>-9</v>
      </c>
      <c r="H114" t="s">
        <v>31</v>
      </c>
    </row>
    <row r="115" spans="1:8">
      <c r="A115">
        <v>114</v>
      </c>
      <c r="B115" t="s">
        <v>310</v>
      </c>
      <c r="C115" t="s">
        <v>311</v>
      </c>
      <c r="D115">
        <v>141</v>
      </c>
      <c r="E115" s="2">
        <v>2</v>
      </c>
      <c r="F115">
        <v>132</v>
      </c>
      <c r="G115">
        <v>-9</v>
      </c>
      <c r="H115" t="s">
        <v>31</v>
      </c>
    </row>
    <row r="116" spans="1:8">
      <c r="A116">
        <v>115</v>
      </c>
      <c r="B116" t="s">
        <v>353</v>
      </c>
      <c r="C116" t="s">
        <v>354</v>
      </c>
      <c r="D116">
        <v>162</v>
      </c>
      <c r="E116" s="2">
        <v>0</v>
      </c>
      <c r="F116">
        <v>153</v>
      </c>
      <c r="G116">
        <v>-9</v>
      </c>
      <c r="H116" t="s">
        <v>31</v>
      </c>
    </row>
    <row r="117" spans="1:8">
      <c r="A117">
        <v>116</v>
      </c>
      <c r="B117" t="s">
        <v>67</v>
      </c>
      <c r="C117" t="s">
        <v>68</v>
      </c>
      <c r="D117">
        <v>21</v>
      </c>
      <c r="E117" s="2">
        <v>39</v>
      </c>
      <c r="F117">
        <v>11</v>
      </c>
      <c r="G117">
        <v>-10</v>
      </c>
      <c r="H117" t="s">
        <v>31</v>
      </c>
    </row>
    <row r="118" spans="1:8">
      <c r="A118">
        <v>117</v>
      </c>
      <c r="B118" t="s">
        <v>182</v>
      </c>
      <c r="C118" t="s">
        <v>183</v>
      </c>
      <c r="D118">
        <v>77</v>
      </c>
      <c r="E118" s="2">
        <v>13</v>
      </c>
      <c r="F118">
        <v>67</v>
      </c>
      <c r="G118">
        <v>-10</v>
      </c>
      <c r="H118" t="s">
        <v>31</v>
      </c>
    </row>
    <row r="119" spans="1:8">
      <c r="A119">
        <v>118</v>
      </c>
      <c r="B119" t="s">
        <v>276</v>
      </c>
      <c r="C119" t="s">
        <v>277</v>
      </c>
      <c r="D119">
        <v>124</v>
      </c>
      <c r="E119" s="2">
        <v>4</v>
      </c>
      <c r="F119">
        <v>114</v>
      </c>
      <c r="G119">
        <v>-10</v>
      </c>
      <c r="H119" t="s">
        <v>31</v>
      </c>
    </row>
    <row r="120" spans="1:8">
      <c r="A120">
        <v>119</v>
      </c>
      <c r="B120" t="s">
        <v>355</v>
      </c>
      <c r="C120" t="s">
        <v>356</v>
      </c>
      <c r="D120">
        <v>163</v>
      </c>
      <c r="E120" s="2">
        <v>0</v>
      </c>
      <c r="F120">
        <v>153</v>
      </c>
      <c r="G120">
        <v>-10</v>
      </c>
      <c r="H120" t="s">
        <v>31</v>
      </c>
    </row>
    <row r="121" spans="1:8">
      <c r="A121">
        <v>120</v>
      </c>
      <c r="B121" t="s">
        <v>94</v>
      </c>
      <c r="C121" t="s">
        <v>95</v>
      </c>
      <c r="D121">
        <v>34</v>
      </c>
      <c r="E121" s="2">
        <v>30</v>
      </c>
      <c r="F121">
        <v>23</v>
      </c>
      <c r="G121">
        <v>-11</v>
      </c>
      <c r="H121" t="s">
        <v>31</v>
      </c>
    </row>
    <row r="122" spans="1:8">
      <c r="A122">
        <v>121</v>
      </c>
      <c r="B122" t="s">
        <v>202</v>
      </c>
      <c r="C122" t="s">
        <v>203</v>
      </c>
      <c r="D122">
        <v>87</v>
      </c>
      <c r="E122" s="2">
        <v>12</v>
      </c>
      <c r="F122">
        <v>76</v>
      </c>
      <c r="G122">
        <v>-11</v>
      </c>
      <c r="H122" t="s">
        <v>31</v>
      </c>
    </row>
    <row r="123" spans="1:8">
      <c r="A123">
        <v>122</v>
      </c>
      <c r="B123" t="s">
        <v>264</v>
      </c>
      <c r="C123" t="s">
        <v>265</v>
      </c>
      <c r="D123">
        <v>118</v>
      </c>
      <c r="E123" s="2">
        <v>5</v>
      </c>
      <c r="F123">
        <v>107</v>
      </c>
      <c r="G123">
        <v>-11</v>
      </c>
      <c r="H123" t="s">
        <v>31</v>
      </c>
    </row>
    <row r="124" spans="1:8">
      <c r="A124">
        <v>123</v>
      </c>
      <c r="B124" t="s">
        <v>314</v>
      </c>
      <c r="C124" t="s">
        <v>315</v>
      </c>
      <c r="D124">
        <v>143</v>
      </c>
      <c r="E124" s="2">
        <v>2</v>
      </c>
      <c r="F124">
        <v>132</v>
      </c>
      <c r="G124">
        <v>-11</v>
      </c>
      <c r="H124" t="s">
        <v>31</v>
      </c>
    </row>
    <row r="125" spans="1:8">
      <c r="A125">
        <v>124</v>
      </c>
      <c r="B125" t="s">
        <v>357</v>
      </c>
      <c r="C125" t="s">
        <v>358</v>
      </c>
      <c r="D125">
        <v>164</v>
      </c>
      <c r="E125" s="2">
        <v>0</v>
      </c>
      <c r="F125">
        <v>153</v>
      </c>
      <c r="G125">
        <v>-11</v>
      </c>
      <c r="H125" t="s">
        <v>31</v>
      </c>
    </row>
    <row r="126" spans="1:8">
      <c r="A126">
        <v>125</v>
      </c>
      <c r="B126" t="s">
        <v>65</v>
      </c>
      <c r="C126" t="s">
        <v>66</v>
      </c>
      <c r="D126">
        <v>20</v>
      </c>
      <c r="E126" s="2">
        <v>46</v>
      </c>
      <c r="F126">
        <v>8</v>
      </c>
      <c r="G126">
        <v>-12</v>
      </c>
      <c r="H126" t="s">
        <v>31</v>
      </c>
    </row>
    <row r="127" spans="1:8">
      <c r="A127">
        <v>126</v>
      </c>
      <c r="B127" t="s">
        <v>80</v>
      </c>
      <c r="C127" t="s">
        <v>81</v>
      </c>
      <c r="D127">
        <v>27</v>
      </c>
      <c r="E127" s="2">
        <v>33</v>
      </c>
      <c r="F127">
        <v>15</v>
      </c>
      <c r="G127">
        <v>-12</v>
      </c>
      <c r="H127" t="s">
        <v>31</v>
      </c>
    </row>
    <row r="128" spans="1:8">
      <c r="A128">
        <v>127</v>
      </c>
      <c r="B128" t="s">
        <v>186</v>
      </c>
      <c r="C128" t="s">
        <v>187</v>
      </c>
      <c r="D128">
        <v>79</v>
      </c>
      <c r="E128" s="2">
        <v>13</v>
      </c>
      <c r="F128">
        <v>67</v>
      </c>
      <c r="G128">
        <v>-12</v>
      </c>
      <c r="H128" t="s">
        <v>31</v>
      </c>
    </row>
    <row r="129" spans="1:8">
      <c r="A129">
        <v>128</v>
      </c>
      <c r="B129" t="s">
        <v>359</v>
      </c>
      <c r="C129" t="s">
        <v>360</v>
      </c>
      <c r="D129">
        <v>165</v>
      </c>
      <c r="E129" s="2">
        <v>0</v>
      </c>
      <c r="F129">
        <v>153</v>
      </c>
      <c r="G129">
        <v>-12</v>
      </c>
      <c r="H129" t="s">
        <v>31</v>
      </c>
    </row>
    <row r="130" spans="1:8">
      <c r="A130">
        <v>129</v>
      </c>
      <c r="B130" t="s">
        <v>139</v>
      </c>
      <c r="C130" t="s">
        <v>140</v>
      </c>
      <c r="D130">
        <v>56</v>
      </c>
      <c r="E130" s="2">
        <v>22</v>
      </c>
      <c r="F130">
        <v>43</v>
      </c>
      <c r="G130">
        <v>-13</v>
      </c>
      <c r="H130" t="s">
        <v>31</v>
      </c>
    </row>
    <row r="131" spans="1:8">
      <c r="A131">
        <v>130</v>
      </c>
      <c r="B131" t="s">
        <v>206</v>
      </c>
      <c r="C131" t="s">
        <v>207</v>
      </c>
      <c r="D131">
        <v>89</v>
      </c>
      <c r="E131" s="2">
        <v>12</v>
      </c>
      <c r="F131">
        <v>76</v>
      </c>
      <c r="G131">
        <v>-13</v>
      </c>
      <c r="H131" t="s">
        <v>31</v>
      </c>
    </row>
    <row r="132" spans="1:8">
      <c r="A132">
        <v>131</v>
      </c>
      <c r="B132" t="s">
        <v>361</v>
      </c>
      <c r="C132" t="s">
        <v>362</v>
      </c>
      <c r="D132">
        <v>166</v>
      </c>
      <c r="E132" s="2">
        <v>0</v>
      </c>
      <c r="F132">
        <v>153</v>
      </c>
      <c r="G132">
        <v>-13</v>
      </c>
      <c r="H132" t="s">
        <v>31</v>
      </c>
    </row>
    <row r="133" spans="1:8">
      <c r="A133">
        <v>132</v>
      </c>
      <c r="B133" t="s">
        <v>127</v>
      </c>
      <c r="C133" t="s">
        <v>128</v>
      </c>
      <c r="D133">
        <v>50</v>
      </c>
      <c r="E133" s="2">
        <v>24</v>
      </c>
      <c r="F133">
        <v>36</v>
      </c>
      <c r="G133">
        <v>-14</v>
      </c>
      <c r="H133" t="s">
        <v>31</v>
      </c>
    </row>
    <row r="134" spans="1:8">
      <c r="A134">
        <v>133</v>
      </c>
      <c r="B134" t="s">
        <v>363</v>
      </c>
      <c r="C134" t="s">
        <v>364</v>
      </c>
      <c r="D134">
        <v>167</v>
      </c>
      <c r="E134" s="2">
        <v>0</v>
      </c>
      <c r="F134">
        <v>153</v>
      </c>
      <c r="G134">
        <v>-14</v>
      </c>
      <c r="H134" t="s">
        <v>31</v>
      </c>
    </row>
    <row r="135" spans="1:8">
      <c r="A135">
        <v>134</v>
      </c>
      <c r="B135" t="s">
        <v>133</v>
      </c>
      <c r="C135" t="s">
        <v>134</v>
      </c>
      <c r="D135">
        <v>53</v>
      </c>
      <c r="E135" s="2">
        <v>23</v>
      </c>
      <c r="F135">
        <v>38</v>
      </c>
      <c r="G135">
        <v>-15</v>
      </c>
      <c r="H135" t="s">
        <v>35</v>
      </c>
    </row>
    <row r="136" spans="1:8">
      <c r="A136">
        <v>135</v>
      </c>
      <c r="B136" t="s">
        <v>244</v>
      </c>
      <c r="C136" t="s">
        <v>245</v>
      </c>
      <c r="D136">
        <v>108</v>
      </c>
      <c r="E136" s="2">
        <v>7</v>
      </c>
      <c r="F136">
        <v>93</v>
      </c>
      <c r="G136">
        <v>-15</v>
      </c>
      <c r="H136" t="s">
        <v>35</v>
      </c>
    </row>
    <row r="137" spans="1:8">
      <c r="A137">
        <v>136</v>
      </c>
      <c r="B137" t="s">
        <v>365</v>
      </c>
      <c r="C137" t="s">
        <v>366</v>
      </c>
      <c r="D137">
        <v>168</v>
      </c>
      <c r="E137" s="2">
        <v>0</v>
      </c>
      <c r="F137">
        <v>153</v>
      </c>
      <c r="G137">
        <v>-15</v>
      </c>
      <c r="H137" t="s">
        <v>35</v>
      </c>
    </row>
    <row r="138" spans="1:8">
      <c r="A138">
        <v>137</v>
      </c>
      <c r="B138" t="s">
        <v>135</v>
      </c>
      <c r="C138" t="s">
        <v>136</v>
      </c>
      <c r="D138">
        <v>54</v>
      </c>
      <c r="E138" s="2">
        <v>23</v>
      </c>
      <c r="F138">
        <v>38</v>
      </c>
      <c r="G138">
        <v>-16</v>
      </c>
      <c r="H138" t="s">
        <v>35</v>
      </c>
    </row>
    <row r="139" spans="1:8">
      <c r="A139">
        <v>138</v>
      </c>
      <c r="B139" t="s">
        <v>152</v>
      </c>
      <c r="C139" t="s">
        <v>153</v>
      </c>
      <c r="D139">
        <v>62</v>
      </c>
      <c r="E139" s="2">
        <v>21</v>
      </c>
      <c r="F139">
        <v>46</v>
      </c>
      <c r="G139">
        <v>-16</v>
      </c>
      <c r="H139" t="s">
        <v>35</v>
      </c>
    </row>
    <row r="140" spans="1:8">
      <c r="A140">
        <v>139</v>
      </c>
      <c r="B140" t="s">
        <v>216</v>
      </c>
      <c r="C140" t="s">
        <v>217</v>
      </c>
      <c r="D140">
        <v>94</v>
      </c>
      <c r="E140" s="2">
        <v>11</v>
      </c>
      <c r="F140">
        <v>78</v>
      </c>
      <c r="G140">
        <v>-16</v>
      </c>
      <c r="H140" t="s">
        <v>35</v>
      </c>
    </row>
    <row r="141" spans="1:8">
      <c r="A141">
        <v>140</v>
      </c>
      <c r="B141" t="s">
        <v>351</v>
      </c>
      <c r="C141" t="s">
        <v>352</v>
      </c>
      <c r="D141">
        <v>161</v>
      </c>
      <c r="E141" s="2">
        <v>1</v>
      </c>
      <c r="F141">
        <v>145</v>
      </c>
      <c r="G141">
        <v>-16</v>
      </c>
      <c r="H141" t="s">
        <v>35</v>
      </c>
    </row>
    <row r="142" spans="1:8">
      <c r="A142">
        <v>141</v>
      </c>
      <c r="B142" t="s">
        <v>196</v>
      </c>
      <c r="C142" t="s">
        <v>197</v>
      </c>
      <c r="D142">
        <v>84</v>
      </c>
      <c r="E142" s="2">
        <v>13</v>
      </c>
      <c r="F142">
        <v>67</v>
      </c>
      <c r="G142">
        <v>-17</v>
      </c>
      <c r="H142" t="s">
        <v>35</v>
      </c>
    </row>
    <row r="143" spans="1:8">
      <c r="A143">
        <v>142</v>
      </c>
      <c r="B143" t="s">
        <v>238</v>
      </c>
      <c r="C143" t="s">
        <v>239</v>
      </c>
      <c r="D143">
        <v>105</v>
      </c>
      <c r="E143" s="2">
        <v>8</v>
      </c>
      <c r="F143">
        <v>88</v>
      </c>
      <c r="G143">
        <v>-17</v>
      </c>
      <c r="H143" t="s">
        <v>35</v>
      </c>
    </row>
    <row r="144" spans="1:8">
      <c r="A144">
        <v>143</v>
      </c>
      <c r="B144" t="s">
        <v>290</v>
      </c>
      <c r="C144" t="s">
        <v>291</v>
      </c>
      <c r="D144">
        <v>131</v>
      </c>
      <c r="E144" s="2">
        <v>4</v>
      </c>
      <c r="F144">
        <v>114</v>
      </c>
      <c r="G144">
        <v>-17</v>
      </c>
      <c r="H144" t="s">
        <v>35</v>
      </c>
    </row>
    <row r="145" spans="1:8">
      <c r="A145">
        <v>144</v>
      </c>
      <c r="B145" t="s">
        <v>226</v>
      </c>
      <c r="C145" t="s">
        <v>227</v>
      </c>
      <c r="D145">
        <v>99</v>
      </c>
      <c r="E145" s="2">
        <v>9</v>
      </c>
      <c r="F145">
        <v>81</v>
      </c>
      <c r="G145">
        <v>-18</v>
      </c>
      <c r="H145" t="s">
        <v>35</v>
      </c>
    </row>
    <row r="146" spans="1:8">
      <c r="A146">
        <v>145</v>
      </c>
      <c r="B146" t="s">
        <v>316</v>
      </c>
      <c r="C146" t="s">
        <v>317</v>
      </c>
      <c r="D146">
        <v>144</v>
      </c>
      <c r="E146" s="2">
        <v>3</v>
      </c>
      <c r="F146">
        <v>126</v>
      </c>
      <c r="G146">
        <v>-18</v>
      </c>
      <c r="H146" t="s">
        <v>35</v>
      </c>
    </row>
    <row r="147" spans="1:8">
      <c r="A147">
        <v>146</v>
      </c>
      <c r="B147" t="s">
        <v>180</v>
      </c>
      <c r="C147" t="s">
        <v>181</v>
      </c>
      <c r="D147">
        <v>76</v>
      </c>
      <c r="E147" s="2">
        <v>15</v>
      </c>
      <c r="F147">
        <v>57</v>
      </c>
      <c r="G147">
        <v>-19</v>
      </c>
      <c r="H147" t="s">
        <v>35</v>
      </c>
    </row>
    <row r="148" spans="1:8">
      <c r="A148">
        <v>147</v>
      </c>
      <c r="B148" t="s">
        <v>373</v>
      </c>
      <c r="C148" t="s">
        <v>374</v>
      </c>
      <c r="D148">
        <v>172</v>
      </c>
      <c r="E148" s="2">
        <v>0</v>
      </c>
      <c r="F148">
        <v>153</v>
      </c>
      <c r="G148">
        <v>-19</v>
      </c>
      <c r="H148" t="s">
        <v>35</v>
      </c>
    </row>
    <row r="149" spans="1:8">
      <c r="A149">
        <v>148</v>
      </c>
      <c r="B149" t="s">
        <v>194</v>
      </c>
      <c r="C149" t="s">
        <v>195</v>
      </c>
      <c r="D149">
        <v>83</v>
      </c>
      <c r="E149" s="2">
        <v>14</v>
      </c>
      <c r="F149">
        <v>63</v>
      </c>
      <c r="G149">
        <v>-20</v>
      </c>
      <c r="H149" t="s">
        <v>35</v>
      </c>
    </row>
    <row r="150" spans="1:8">
      <c r="A150">
        <v>149</v>
      </c>
      <c r="B150" t="s">
        <v>375</v>
      </c>
      <c r="C150" t="s">
        <v>376</v>
      </c>
      <c r="D150">
        <v>173</v>
      </c>
      <c r="E150" s="2">
        <v>0</v>
      </c>
      <c r="F150">
        <v>153</v>
      </c>
      <c r="G150">
        <v>-20</v>
      </c>
      <c r="H150" t="s">
        <v>35</v>
      </c>
    </row>
    <row r="151" spans="1:8">
      <c r="A151">
        <v>150</v>
      </c>
      <c r="B151" t="s">
        <v>105</v>
      </c>
      <c r="C151" t="s">
        <v>106</v>
      </c>
      <c r="D151">
        <v>39</v>
      </c>
      <c r="E151" s="2">
        <v>32</v>
      </c>
      <c r="F151">
        <v>18</v>
      </c>
      <c r="G151">
        <v>-21</v>
      </c>
      <c r="H151" t="s">
        <v>35</v>
      </c>
    </row>
    <row r="152" spans="1:8">
      <c r="A152">
        <v>151</v>
      </c>
      <c r="B152" t="s">
        <v>377</v>
      </c>
      <c r="C152" t="s">
        <v>378</v>
      </c>
      <c r="D152">
        <v>174</v>
      </c>
      <c r="E152" s="2">
        <v>0</v>
      </c>
      <c r="F152">
        <v>153</v>
      </c>
      <c r="G152">
        <v>-21</v>
      </c>
      <c r="H152" t="s">
        <v>35</v>
      </c>
    </row>
    <row r="153" spans="1:8">
      <c r="A153">
        <v>152</v>
      </c>
      <c r="B153" t="s">
        <v>234</v>
      </c>
      <c r="C153" t="s">
        <v>235</v>
      </c>
      <c r="D153">
        <v>103</v>
      </c>
      <c r="E153" s="2">
        <v>9</v>
      </c>
      <c r="F153">
        <v>81</v>
      </c>
      <c r="G153">
        <v>-22</v>
      </c>
      <c r="H153" t="s">
        <v>35</v>
      </c>
    </row>
    <row r="154" spans="1:8">
      <c r="A154">
        <v>153</v>
      </c>
      <c r="B154" t="s">
        <v>379</v>
      </c>
      <c r="C154" t="s">
        <v>380</v>
      </c>
      <c r="D154">
        <v>175</v>
      </c>
      <c r="E154" s="2">
        <v>0</v>
      </c>
      <c r="F154">
        <v>153</v>
      </c>
      <c r="G154">
        <v>-22</v>
      </c>
      <c r="H154" t="s">
        <v>35</v>
      </c>
    </row>
    <row r="155" spans="1:8">
      <c r="A155">
        <v>154</v>
      </c>
      <c r="B155" t="s">
        <v>260</v>
      </c>
      <c r="C155" t="s">
        <v>261</v>
      </c>
      <c r="D155">
        <v>116</v>
      </c>
      <c r="E155" s="2">
        <v>7</v>
      </c>
      <c r="F155">
        <v>93</v>
      </c>
      <c r="G155">
        <v>-23</v>
      </c>
      <c r="H155" t="s">
        <v>35</v>
      </c>
    </row>
    <row r="156" spans="1:8">
      <c r="A156">
        <v>155</v>
      </c>
      <c r="B156" t="s">
        <v>339</v>
      </c>
      <c r="C156" t="s">
        <v>340</v>
      </c>
      <c r="D156">
        <v>155</v>
      </c>
      <c r="E156" s="2">
        <v>2</v>
      </c>
      <c r="F156">
        <v>132</v>
      </c>
      <c r="G156">
        <v>-23</v>
      </c>
      <c r="H156" t="s">
        <v>35</v>
      </c>
    </row>
    <row r="157" spans="1:8">
      <c r="A157">
        <v>156</v>
      </c>
      <c r="B157" t="s">
        <v>381</v>
      </c>
      <c r="C157" t="s">
        <v>382</v>
      </c>
      <c r="D157">
        <v>176</v>
      </c>
      <c r="E157" s="2">
        <v>0</v>
      </c>
      <c r="F157">
        <v>153</v>
      </c>
      <c r="G157">
        <v>-23</v>
      </c>
      <c r="H157" t="s">
        <v>35</v>
      </c>
    </row>
    <row r="158" spans="1:8">
      <c r="A158">
        <v>157</v>
      </c>
      <c r="B158" t="s">
        <v>252</v>
      </c>
      <c r="C158" t="s">
        <v>253</v>
      </c>
      <c r="D158">
        <v>112</v>
      </c>
      <c r="E158" s="2">
        <v>8</v>
      </c>
      <c r="F158">
        <v>88</v>
      </c>
      <c r="G158">
        <v>-24</v>
      </c>
      <c r="H158" t="s">
        <v>35</v>
      </c>
    </row>
    <row r="159" spans="1:8">
      <c r="A159">
        <v>158</v>
      </c>
      <c r="B159" t="s">
        <v>383</v>
      </c>
      <c r="C159" t="s">
        <v>384</v>
      </c>
      <c r="D159">
        <v>177</v>
      </c>
      <c r="E159" s="2">
        <v>0</v>
      </c>
      <c r="F159">
        <v>153</v>
      </c>
      <c r="G159">
        <v>-24</v>
      </c>
      <c r="H159" t="s">
        <v>35</v>
      </c>
    </row>
    <row r="160" spans="1:8">
      <c r="A160">
        <v>159</v>
      </c>
      <c r="B160" t="s">
        <v>369</v>
      </c>
      <c r="C160" t="s">
        <v>370</v>
      </c>
      <c r="D160">
        <v>170</v>
      </c>
      <c r="E160" s="2">
        <v>1</v>
      </c>
      <c r="F160">
        <v>145</v>
      </c>
      <c r="G160">
        <v>-25</v>
      </c>
      <c r="H160" t="s">
        <v>35</v>
      </c>
    </row>
    <row r="161" spans="1:8">
      <c r="A161">
        <v>160</v>
      </c>
      <c r="B161" t="s">
        <v>385</v>
      </c>
      <c r="C161" t="s">
        <v>386</v>
      </c>
      <c r="D161">
        <v>178</v>
      </c>
      <c r="E161" s="2">
        <v>0</v>
      </c>
      <c r="F161">
        <v>153</v>
      </c>
      <c r="G161">
        <v>-25</v>
      </c>
      <c r="H161" t="s">
        <v>35</v>
      </c>
    </row>
    <row r="162" spans="1:8">
      <c r="A162">
        <v>161</v>
      </c>
      <c r="B162" t="s">
        <v>284</v>
      </c>
      <c r="C162" t="s">
        <v>285</v>
      </c>
      <c r="D162">
        <v>128</v>
      </c>
      <c r="E162" s="2">
        <v>6</v>
      </c>
      <c r="F162">
        <v>102</v>
      </c>
      <c r="G162">
        <v>-26</v>
      </c>
      <c r="H162" t="s">
        <v>35</v>
      </c>
    </row>
    <row r="163" spans="1:8">
      <c r="A163">
        <v>162</v>
      </c>
      <c r="B163" t="s">
        <v>387</v>
      </c>
      <c r="C163" t="s">
        <v>388</v>
      </c>
      <c r="D163">
        <v>179</v>
      </c>
      <c r="E163" s="2">
        <v>0</v>
      </c>
      <c r="F163">
        <v>153</v>
      </c>
      <c r="G163">
        <v>-26</v>
      </c>
      <c r="H163" t="s">
        <v>35</v>
      </c>
    </row>
    <row r="164" spans="1:8">
      <c r="A164">
        <v>163</v>
      </c>
      <c r="B164" t="s">
        <v>389</v>
      </c>
      <c r="C164" t="s">
        <v>390</v>
      </c>
      <c r="D164">
        <v>180</v>
      </c>
      <c r="E164" s="2">
        <v>0</v>
      </c>
      <c r="F164">
        <v>153</v>
      </c>
      <c r="G164">
        <v>-27</v>
      </c>
      <c r="H164" t="s">
        <v>35</v>
      </c>
    </row>
    <row r="165" spans="1:8">
      <c r="A165">
        <v>164</v>
      </c>
      <c r="B165" t="s">
        <v>391</v>
      </c>
      <c r="C165" t="s">
        <v>392</v>
      </c>
      <c r="D165">
        <v>181</v>
      </c>
      <c r="E165" s="2">
        <v>0</v>
      </c>
      <c r="F165">
        <v>153</v>
      </c>
      <c r="G165">
        <v>-28</v>
      </c>
      <c r="H165" t="s">
        <v>35</v>
      </c>
    </row>
    <row r="166" spans="1:8">
      <c r="A166">
        <v>165</v>
      </c>
      <c r="B166" t="s">
        <v>395</v>
      </c>
      <c r="C166" t="s">
        <v>396</v>
      </c>
      <c r="D166">
        <v>183</v>
      </c>
      <c r="E166" s="2">
        <v>0</v>
      </c>
      <c r="F166">
        <v>153</v>
      </c>
      <c r="G166">
        <v>-30</v>
      </c>
      <c r="H166" t="s">
        <v>35</v>
      </c>
    </row>
    <row r="167" spans="1:8">
      <c r="A167">
        <v>166</v>
      </c>
      <c r="B167" t="s">
        <v>250</v>
      </c>
      <c r="C167" t="s">
        <v>251</v>
      </c>
      <c r="D167">
        <v>111</v>
      </c>
      <c r="E167" s="2">
        <v>10</v>
      </c>
      <c r="F167">
        <v>80</v>
      </c>
      <c r="G167">
        <v>-31</v>
      </c>
      <c r="H167" t="s">
        <v>35</v>
      </c>
    </row>
    <row r="168" spans="1:8">
      <c r="A168">
        <v>167</v>
      </c>
      <c r="B168" t="s">
        <v>304</v>
      </c>
      <c r="C168" t="s">
        <v>305</v>
      </c>
      <c r="D168">
        <v>138</v>
      </c>
      <c r="E168" s="2">
        <v>5</v>
      </c>
      <c r="F168">
        <v>107</v>
      </c>
      <c r="G168">
        <v>-31</v>
      </c>
      <c r="H168" t="s">
        <v>35</v>
      </c>
    </row>
    <row r="169" spans="1:8">
      <c r="A169">
        <v>168</v>
      </c>
      <c r="B169" t="s">
        <v>397</v>
      </c>
      <c r="C169" t="s">
        <v>398</v>
      </c>
      <c r="D169">
        <v>184</v>
      </c>
      <c r="E169" s="2">
        <v>0</v>
      </c>
      <c r="F169">
        <v>153</v>
      </c>
      <c r="G169">
        <v>-31</v>
      </c>
      <c r="H169" t="s">
        <v>35</v>
      </c>
    </row>
    <row r="170" spans="1:8">
      <c r="A170">
        <v>169</v>
      </c>
      <c r="B170" t="s">
        <v>254</v>
      </c>
      <c r="C170" t="s">
        <v>255</v>
      </c>
      <c r="D170">
        <v>113</v>
      </c>
      <c r="E170" s="2">
        <v>9</v>
      </c>
      <c r="F170">
        <v>81</v>
      </c>
      <c r="G170">
        <v>-32</v>
      </c>
      <c r="H170" t="s">
        <v>35</v>
      </c>
    </row>
    <row r="171" spans="1:8">
      <c r="A171">
        <v>170</v>
      </c>
      <c r="B171" t="s">
        <v>399</v>
      </c>
      <c r="C171" t="s">
        <v>400</v>
      </c>
      <c r="D171">
        <v>185</v>
      </c>
      <c r="E171" s="2">
        <v>0</v>
      </c>
      <c r="F171">
        <v>153</v>
      </c>
      <c r="G171">
        <v>-32</v>
      </c>
      <c r="H171" t="s">
        <v>35</v>
      </c>
    </row>
    <row r="172" spans="1:8">
      <c r="A172">
        <v>171</v>
      </c>
      <c r="B172" t="s">
        <v>256</v>
      </c>
      <c r="C172" t="s">
        <v>257</v>
      </c>
      <c r="D172">
        <v>114</v>
      </c>
      <c r="E172" s="2">
        <v>9</v>
      </c>
      <c r="F172">
        <v>81</v>
      </c>
      <c r="G172">
        <v>-33</v>
      </c>
      <c r="H172" t="s">
        <v>35</v>
      </c>
    </row>
    <row r="173" spans="1:8">
      <c r="A173">
        <v>172</v>
      </c>
      <c r="B173" t="s">
        <v>401</v>
      </c>
      <c r="C173" t="s">
        <v>402</v>
      </c>
      <c r="D173">
        <v>186</v>
      </c>
      <c r="E173" s="2">
        <v>0</v>
      </c>
      <c r="F173">
        <v>153</v>
      </c>
      <c r="G173">
        <v>-33</v>
      </c>
      <c r="H173" t="s">
        <v>35</v>
      </c>
    </row>
    <row r="174" spans="1:8">
      <c r="A174">
        <v>173</v>
      </c>
      <c r="B174" t="s">
        <v>230</v>
      </c>
      <c r="C174" t="s">
        <v>231</v>
      </c>
      <c r="D174">
        <v>101</v>
      </c>
      <c r="E174" s="2">
        <v>13</v>
      </c>
      <c r="F174">
        <v>67</v>
      </c>
      <c r="G174">
        <v>-34</v>
      </c>
      <c r="H174" t="s">
        <v>35</v>
      </c>
    </row>
    <row r="175" spans="1:8">
      <c r="A175">
        <v>174</v>
      </c>
      <c r="B175" t="s">
        <v>282</v>
      </c>
      <c r="C175" t="s">
        <v>283</v>
      </c>
      <c r="D175">
        <v>127</v>
      </c>
      <c r="E175" s="2">
        <v>7</v>
      </c>
      <c r="F175">
        <v>93</v>
      </c>
      <c r="G175">
        <v>-34</v>
      </c>
      <c r="H175" t="s">
        <v>35</v>
      </c>
    </row>
    <row r="176" spans="1:8">
      <c r="A176">
        <v>175</v>
      </c>
      <c r="B176" t="s">
        <v>403</v>
      </c>
      <c r="C176" t="s">
        <v>404</v>
      </c>
      <c r="D176">
        <v>187</v>
      </c>
      <c r="E176" s="2">
        <v>0</v>
      </c>
      <c r="F176">
        <v>153</v>
      </c>
      <c r="G176">
        <v>-34</v>
      </c>
      <c r="H176" t="s">
        <v>35</v>
      </c>
    </row>
    <row r="177" spans="1:8">
      <c r="A177">
        <v>176</v>
      </c>
      <c r="B177" t="s">
        <v>407</v>
      </c>
      <c r="C177" t="s">
        <v>408</v>
      </c>
      <c r="D177">
        <v>189</v>
      </c>
      <c r="E177" s="2">
        <v>0</v>
      </c>
      <c r="F177">
        <v>153</v>
      </c>
      <c r="G177">
        <v>-36</v>
      </c>
      <c r="H177" t="s">
        <v>35</v>
      </c>
    </row>
    <row r="178" spans="1:8">
      <c r="A178">
        <v>177</v>
      </c>
      <c r="B178" t="s">
        <v>288</v>
      </c>
      <c r="C178" t="s">
        <v>289</v>
      </c>
      <c r="D178">
        <v>130</v>
      </c>
      <c r="E178" s="2">
        <v>7</v>
      </c>
      <c r="F178">
        <v>93</v>
      </c>
      <c r="G178">
        <v>-37</v>
      </c>
      <c r="H178" t="s">
        <v>35</v>
      </c>
    </row>
    <row r="179" spans="1:8">
      <c r="A179">
        <v>178</v>
      </c>
      <c r="B179" t="s">
        <v>330</v>
      </c>
      <c r="C179" t="s">
        <v>331</v>
      </c>
      <c r="D179">
        <v>151</v>
      </c>
      <c r="E179" s="2">
        <v>4</v>
      </c>
      <c r="F179">
        <v>114</v>
      </c>
      <c r="G179">
        <v>-37</v>
      </c>
      <c r="H179" t="s">
        <v>35</v>
      </c>
    </row>
    <row r="180" spans="1:8">
      <c r="A180">
        <v>179</v>
      </c>
      <c r="B180" t="s">
        <v>393</v>
      </c>
      <c r="C180" t="s">
        <v>394</v>
      </c>
      <c r="D180">
        <v>182</v>
      </c>
      <c r="E180" s="2">
        <v>1</v>
      </c>
      <c r="F180">
        <v>145</v>
      </c>
      <c r="G180">
        <v>-37</v>
      </c>
      <c r="H180" t="s">
        <v>35</v>
      </c>
    </row>
    <row r="181" spans="1:8">
      <c r="A181">
        <v>180</v>
      </c>
      <c r="B181" t="s">
        <v>409</v>
      </c>
      <c r="C181" t="s">
        <v>410</v>
      </c>
      <c r="D181">
        <v>190</v>
      </c>
      <c r="E181" s="2">
        <v>0</v>
      </c>
      <c r="F181">
        <v>153</v>
      </c>
      <c r="G181">
        <v>-37</v>
      </c>
      <c r="H181" t="s">
        <v>35</v>
      </c>
    </row>
    <row r="182" spans="1:8">
      <c r="A182">
        <v>181</v>
      </c>
      <c r="B182" t="s">
        <v>318</v>
      </c>
      <c r="C182" t="s">
        <v>319</v>
      </c>
      <c r="D182">
        <v>145</v>
      </c>
      <c r="E182" s="2">
        <v>5</v>
      </c>
      <c r="F182">
        <v>107</v>
      </c>
      <c r="G182">
        <v>-38</v>
      </c>
      <c r="H182" t="s">
        <v>35</v>
      </c>
    </row>
    <row r="183" spans="1:8">
      <c r="A183">
        <v>182</v>
      </c>
      <c r="B183" t="s">
        <v>332</v>
      </c>
      <c r="C183" t="s">
        <v>333</v>
      </c>
      <c r="D183">
        <v>152</v>
      </c>
      <c r="E183" s="2">
        <v>4</v>
      </c>
      <c r="F183">
        <v>114</v>
      </c>
      <c r="G183">
        <v>-38</v>
      </c>
      <c r="H183" t="s">
        <v>35</v>
      </c>
    </row>
    <row r="184" spans="1:8">
      <c r="A184">
        <v>183</v>
      </c>
      <c r="B184" t="s">
        <v>337</v>
      </c>
      <c r="C184" t="s">
        <v>338</v>
      </c>
      <c r="D184">
        <v>154</v>
      </c>
      <c r="E184" s="2">
        <v>4</v>
      </c>
      <c r="F184">
        <v>114</v>
      </c>
      <c r="G184">
        <v>-40</v>
      </c>
      <c r="H184" t="s">
        <v>35</v>
      </c>
    </row>
    <row r="185" spans="1:8">
      <c r="A185">
        <v>184</v>
      </c>
      <c r="B185" t="s">
        <v>415</v>
      </c>
      <c r="C185" t="s">
        <v>416</v>
      </c>
      <c r="D185">
        <v>193</v>
      </c>
      <c r="E185" s="2">
        <v>0</v>
      </c>
      <c r="F185">
        <v>153</v>
      </c>
      <c r="G185">
        <v>-40</v>
      </c>
      <c r="H185" t="s">
        <v>35</v>
      </c>
    </row>
    <row r="186" spans="1:8">
      <c r="A186">
        <v>185</v>
      </c>
      <c r="B186" t="s">
        <v>417</v>
      </c>
      <c r="C186" t="s">
        <v>418</v>
      </c>
      <c r="D186">
        <v>194</v>
      </c>
      <c r="E186" s="2">
        <v>0</v>
      </c>
      <c r="F186">
        <v>153</v>
      </c>
      <c r="G186">
        <v>-41</v>
      </c>
      <c r="H186" t="s">
        <v>35</v>
      </c>
    </row>
    <row r="187" spans="1:8">
      <c r="A187">
        <v>186</v>
      </c>
      <c r="B187" t="s">
        <v>419</v>
      </c>
      <c r="C187" t="s">
        <v>420</v>
      </c>
      <c r="D187">
        <v>195</v>
      </c>
      <c r="E187" s="2">
        <v>0</v>
      </c>
      <c r="F187">
        <v>153</v>
      </c>
      <c r="G187">
        <v>-42</v>
      </c>
      <c r="H187" t="s">
        <v>35</v>
      </c>
    </row>
    <row r="188" spans="1:8">
      <c r="A188">
        <v>187</v>
      </c>
      <c r="B188" t="s">
        <v>343</v>
      </c>
      <c r="C188" t="s">
        <v>344</v>
      </c>
      <c r="D188">
        <v>157</v>
      </c>
      <c r="E188" s="2">
        <v>4</v>
      </c>
      <c r="F188">
        <v>114</v>
      </c>
      <c r="G188">
        <v>-43</v>
      </c>
      <c r="H188" t="s">
        <v>35</v>
      </c>
    </row>
    <row r="189" spans="1:8">
      <c r="A189">
        <v>188</v>
      </c>
      <c r="B189" t="s">
        <v>218</v>
      </c>
      <c r="C189" t="s">
        <v>219</v>
      </c>
      <c r="D189">
        <v>95</v>
      </c>
      <c r="E189" s="2">
        <v>18</v>
      </c>
      <c r="F189">
        <v>50</v>
      </c>
      <c r="G189">
        <v>-45</v>
      </c>
      <c r="H189" t="s">
        <v>35</v>
      </c>
    </row>
    <row r="190" spans="1:8">
      <c r="A190">
        <v>189</v>
      </c>
      <c r="B190" t="s">
        <v>371</v>
      </c>
      <c r="C190" t="s">
        <v>372</v>
      </c>
      <c r="D190">
        <v>171</v>
      </c>
      <c r="E190" s="2">
        <v>3</v>
      </c>
      <c r="F190">
        <v>126</v>
      </c>
      <c r="G190">
        <v>-45</v>
      </c>
      <c r="H190" t="s">
        <v>35</v>
      </c>
    </row>
    <row r="191" spans="1:8">
      <c r="A191">
        <v>190</v>
      </c>
      <c r="B191" t="s">
        <v>425</v>
      </c>
      <c r="C191" t="s">
        <v>426</v>
      </c>
      <c r="D191">
        <v>198</v>
      </c>
      <c r="E191" s="2">
        <v>0</v>
      </c>
      <c r="F191">
        <v>153</v>
      </c>
      <c r="G191">
        <v>-45</v>
      </c>
      <c r="H191" t="s">
        <v>35</v>
      </c>
    </row>
    <row r="192" spans="1:8">
      <c r="A192">
        <v>191</v>
      </c>
      <c r="B192" t="s">
        <v>427</v>
      </c>
      <c r="C192" t="s">
        <v>428</v>
      </c>
      <c r="D192">
        <v>199</v>
      </c>
      <c r="E192" s="2">
        <v>0</v>
      </c>
      <c r="F192">
        <v>153</v>
      </c>
      <c r="G192">
        <v>-46</v>
      </c>
      <c r="H192" t="s">
        <v>35</v>
      </c>
    </row>
    <row r="193" spans="1:8">
      <c r="A193">
        <v>192</v>
      </c>
      <c r="B193" t="s">
        <v>431</v>
      </c>
      <c r="C193" t="s">
        <v>432</v>
      </c>
      <c r="D193">
        <v>201</v>
      </c>
      <c r="E193" s="2">
        <v>0</v>
      </c>
      <c r="F193">
        <v>153</v>
      </c>
      <c r="G193">
        <v>-48</v>
      </c>
      <c r="H193" t="s">
        <v>35</v>
      </c>
    </row>
    <row r="194" spans="1:8">
      <c r="A194">
        <v>193</v>
      </c>
      <c r="B194" t="s">
        <v>439</v>
      </c>
      <c r="C194" t="s">
        <v>440</v>
      </c>
      <c r="D194">
        <v>205</v>
      </c>
      <c r="E194" s="2">
        <v>0</v>
      </c>
      <c r="F194">
        <v>153</v>
      </c>
      <c r="G194">
        <v>-52</v>
      </c>
      <c r="H194" t="s">
        <v>35</v>
      </c>
    </row>
    <row r="195" spans="1:8">
      <c r="A195">
        <v>194</v>
      </c>
      <c r="B195" t="s">
        <v>441</v>
      </c>
      <c r="C195" t="s">
        <v>442</v>
      </c>
      <c r="D195">
        <v>206</v>
      </c>
      <c r="E195" s="2">
        <v>0</v>
      </c>
      <c r="F195">
        <v>153</v>
      </c>
      <c r="G195">
        <v>-53</v>
      </c>
      <c r="H195" t="s">
        <v>35</v>
      </c>
    </row>
    <row r="196" spans="1:8">
      <c r="A196">
        <v>195</v>
      </c>
      <c r="B196" t="s">
        <v>270</v>
      </c>
      <c r="C196" t="s">
        <v>271</v>
      </c>
      <c r="D196">
        <v>121</v>
      </c>
      <c r="E196" s="2">
        <v>13</v>
      </c>
      <c r="F196">
        <v>67</v>
      </c>
      <c r="G196">
        <v>-54</v>
      </c>
      <c r="H196" t="s">
        <v>35</v>
      </c>
    </row>
    <row r="197" spans="1:8">
      <c r="A197">
        <v>196</v>
      </c>
      <c r="B197" t="s">
        <v>447</v>
      </c>
      <c r="C197" t="s">
        <v>448</v>
      </c>
      <c r="D197">
        <v>209</v>
      </c>
      <c r="E197" s="2">
        <v>0</v>
      </c>
      <c r="F197">
        <v>153</v>
      </c>
      <c r="G197">
        <v>-56</v>
      </c>
      <c r="H197" t="s">
        <v>35</v>
      </c>
    </row>
    <row r="198" spans="1:8">
      <c r="A198">
        <v>197</v>
      </c>
      <c r="B198" t="s">
        <v>449</v>
      </c>
      <c r="C198" t="s">
        <v>450</v>
      </c>
      <c r="D198">
        <v>210</v>
      </c>
      <c r="E198" s="2">
        <v>0</v>
      </c>
      <c r="F198">
        <v>153</v>
      </c>
      <c r="G198">
        <v>-57</v>
      </c>
      <c r="H198" t="s">
        <v>35</v>
      </c>
    </row>
    <row r="199" spans="1:8">
      <c r="A199">
        <v>198</v>
      </c>
      <c r="B199" t="s">
        <v>451</v>
      </c>
      <c r="C199" t="s">
        <v>452</v>
      </c>
      <c r="D199">
        <v>211</v>
      </c>
      <c r="E199" s="2">
        <v>0</v>
      </c>
      <c r="F199">
        <v>153</v>
      </c>
      <c r="G199">
        <v>-58</v>
      </c>
      <c r="H199" t="s">
        <v>35</v>
      </c>
    </row>
    <row r="200" spans="1:8">
      <c r="A200">
        <v>199</v>
      </c>
      <c r="B200" t="s">
        <v>457</v>
      </c>
      <c r="C200" t="s">
        <v>458</v>
      </c>
      <c r="D200">
        <v>214</v>
      </c>
      <c r="E200" s="2">
        <v>0</v>
      </c>
      <c r="F200">
        <v>153</v>
      </c>
      <c r="G200">
        <v>-61</v>
      </c>
      <c r="H200" t="s">
        <v>35</v>
      </c>
    </row>
    <row r="201" spans="1:8">
      <c r="A201">
        <v>200</v>
      </c>
      <c r="B201" t="s">
        <v>459</v>
      </c>
      <c r="C201" t="s">
        <v>460</v>
      </c>
      <c r="D201">
        <v>215</v>
      </c>
      <c r="E201" s="2">
        <v>0</v>
      </c>
      <c r="F201">
        <v>153</v>
      </c>
      <c r="G201">
        <v>-62</v>
      </c>
      <c r="H201" t="s">
        <v>35</v>
      </c>
    </row>
    <row r="202" spans="1:8">
      <c r="A202">
        <v>201</v>
      </c>
      <c r="B202" t="s">
        <v>461</v>
      </c>
      <c r="C202" t="s">
        <v>462</v>
      </c>
      <c r="D202">
        <v>216</v>
      </c>
      <c r="E202" s="2">
        <v>0</v>
      </c>
      <c r="F202">
        <v>153</v>
      </c>
      <c r="G202">
        <v>-63</v>
      </c>
      <c r="H202" t="s">
        <v>35</v>
      </c>
    </row>
    <row r="203" spans="1:8">
      <c r="A203">
        <v>202</v>
      </c>
      <c r="B203" t="s">
        <v>411</v>
      </c>
      <c r="C203" t="s">
        <v>412</v>
      </c>
      <c r="D203">
        <v>191</v>
      </c>
      <c r="E203" s="2">
        <v>3</v>
      </c>
      <c r="F203">
        <v>126</v>
      </c>
      <c r="G203">
        <v>-65</v>
      </c>
      <c r="H203" t="s">
        <v>35</v>
      </c>
    </row>
    <row r="204" spans="1:8">
      <c r="A204">
        <v>203</v>
      </c>
      <c r="B204" t="s">
        <v>465</v>
      </c>
      <c r="C204" t="s">
        <v>466</v>
      </c>
      <c r="D204">
        <v>218</v>
      </c>
      <c r="E204" s="2">
        <v>0</v>
      </c>
      <c r="F204">
        <v>153</v>
      </c>
      <c r="G204">
        <v>-65</v>
      </c>
      <c r="H204" t="s">
        <v>35</v>
      </c>
    </row>
    <row r="205" spans="1:8">
      <c r="A205">
        <v>204</v>
      </c>
      <c r="B205" t="s">
        <v>471</v>
      </c>
      <c r="C205" t="s">
        <v>472</v>
      </c>
      <c r="D205">
        <v>221</v>
      </c>
      <c r="E205" s="2">
        <v>0</v>
      </c>
      <c r="F205">
        <v>153</v>
      </c>
      <c r="G205">
        <v>-68</v>
      </c>
      <c r="H205" t="s">
        <v>35</v>
      </c>
    </row>
    <row r="206" spans="1:8">
      <c r="A206">
        <v>205</v>
      </c>
      <c r="B206" t="s">
        <v>473</v>
      </c>
      <c r="C206" t="s">
        <v>474</v>
      </c>
      <c r="D206">
        <v>222</v>
      </c>
      <c r="E206" s="2">
        <v>0</v>
      </c>
      <c r="F206">
        <v>153</v>
      </c>
      <c r="G206">
        <v>-69</v>
      </c>
      <c r="H206" t="s">
        <v>35</v>
      </c>
    </row>
    <row r="207" spans="1:8">
      <c r="A207">
        <v>206</v>
      </c>
      <c r="B207" t="s">
        <v>433</v>
      </c>
      <c r="C207" t="s">
        <v>434</v>
      </c>
      <c r="D207">
        <v>202</v>
      </c>
      <c r="E207" s="2">
        <v>2</v>
      </c>
      <c r="F207">
        <v>132</v>
      </c>
      <c r="G207">
        <v>-70</v>
      </c>
      <c r="H207" t="s">
        <v>35</v>
      </c>
    </row>
    <row r="208" spans="1:8">
      <c r="A208">
        <v>207</v>
      </c>
      <c r="B208" t="s">
        <v>443</v>
      </c>
      <c r="C208" t="s">
        <v>444</v>
      </c>
      <c r="D208">
        <v>207</v>
      </c>
      <c r="E208" s="2">
        <v>2</v>
      </c>
      <c r="F208">
        <v>132</v>
      </c>
      <c r="G208">
        <v>-75</v>
      </c>
      <c r="H208" t="s">
        <v>35</v>
      </c>
    </row>
    <row r="209" spans="1:8">
      <c r="A209">
        <v>208</v>
      </c>
      <c r="B209" t="s">
        <v>453</v>
      </c>
      <c r="C209" t="s">
        <v>454</v>
      </c>
      <c r="D209">
        <v>212</v>
      </c>
      <c r="E209" s="2">
        <v>2</v>
      </c>
      <c r="F209">
        <v>132</v>
      </c>
      <c r="G209">
        <v>-80</v>
      </c>
      <c r="H209" t="s">
        <v>35</v>
      </c>
    </row>
    <row r="210" spans="1:8">
      <c r="A210">
        <v>209</v>
      </c>
      <c r="B210" t="s">
        <v>467</v>
      </c>
      <c r="C210" t="s">
        <v>468</v>
      </c>
      <c r="D210">
        <v>219</v>
      </c>
      <c r="E210" s="2">
        <v>2</v>
      </c>
      <c r="F210">
        <v>132</v>
      </c>
      <c r="G210">
        <v>-87</v>
      </c>
      <c r="H210" t="s">
        <v>35</v>
      </c>
    </row>
  </sheetData>
  <conditionalFormatting sqref="G2:G2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Auction vs Rank</vt:lpstr>
      <vt:lpstr>Best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Bernick</cp:lastModifiedBy>
  <dcterms:created xsi:type="dcterms:W3CDTF">2026-08-23T18:39:30Z</dcterms:created>
  <dcterms:modified xsi:type="dcterms:W3CDTF">2026-08-23T18:39:30Z</dcterms:modified>
</cp:coreProperties>
</file>