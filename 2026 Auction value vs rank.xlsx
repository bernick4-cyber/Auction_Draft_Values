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d74f11a5a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ction vs Rank" sheetId="1" r:id="R3cd0879d2c6c44a3"/>
    <x:sheet xmlns:r="http://schemas.openxmlformats.org/officeDocument/2006/relationships" name="Best Values" sheetId="2" r:id="Rf56e5a3e84734588"/>
  </x:sheets>
</x:workbook>
</file>

<file path=xl/sharedStrings.xml><?xml version="1.0" encoding="utf-8"?>
<x:sst xmlns:x="http://schemas.openxmlformats.org/spreadsheetml/2006/main">
  <x:si>
    <x:t xml:space="preserve">Overall Rank</x:t>
  </x:si>
  <x:si>
    <x:t xml:space="preserve">Player</x:t>
  </x:si>
  <x:si>
    <x:t xml:space="preserve">POS Rank</x:t>
  </x:si>
  <x:si>
    <x:t xml:space="preserve">Position</x:t>
  </x:si>
  <x:si>
    <x:t xml:space="preserve">Auction $</x:t>
  </x:si>
  <x:si>
    <x:t xml:space="preserve">Auction Rank</x:t>
  </x:si>
  <x:si>
    <x:t xml:space="preserve">How to Read Rank Value</x:t>
  </x:si>
  <x:si>
    <x:t xml:space="preserve">Jahmyr Gibbs</x:t>
  </x:si>
  <x:si>
    <x:t xml:space="preserve">RB1</x:t>
  </x:si>
  <x:si>
    <x:t xml:space="preserve">RB</x:t>
  </x:si>
  <x:si>
    <x:t xml:space="preserve">Rank Value</x:t>
  </x:si>
  <x:si>
    <x:t xml:space="preserve">Interpretation</x:t>
  </x:si>
  <x:si>
    <x:t xml:space="preserve">Ja'Marr Chase</x:t>
  </x:si>
  <x:si>
    <x:t xml:space="preserve">WR1</x:t>
  </x:si>
  <x:si>
    <x:t xml:space="preserve">WR</x:t>
  </x:si>
  <x:si>
    <x:t xml:space="preserve">15+</x:t>
  </x:si>
  <x:si>
    <x:t xml:space="preserve">Strong Value</x:t>
  </x:si>
  <x:si>
    <x:t xml:space="preserve">Puka Nacua</x:t>
  </x:si>
  <x:si>
    <x:t xml:space="preserve">WR2</x:t>
  </x:si>
  <x:si>
    <x:t xml:space="preserve">5 to 14</x:t>
  </x:si>
  <x:si>
    <x:t xml:space="preserve">Value</x:t>
  </x:si>
  <x:si>
    <x:t xml:space="preserve">Bijan Robinson</x:t>
  </x:si>
  <x:si>
    <x:t xml:space="preserve">RB2</x:t>
  </x:si>
  <x:si>
    <x:t xml:space="preserve">-4 to 4</x:t>
  </x:si>
  <x:si>
    <x:t xml:space="preserve">Fair</x:t>
  </x:si>
  <x:si>
    <x:t xml:space="preserve">Jaxon Smith-Njigba</x:t>
  </x:si>
  <x:si>
    <x:t xml:space="preserve">WR3</x:t>
  </x:si>
  <x:si>
    <x:t xml:space="preserve">-5 to -14</x:t>
  </x:si>
  <x:si>
    <x:t xml:space="preserve">Expensive</x:t>
  </x:si>
  <x:si>
    <x:t xml:space="preserve">Christian McCaffrey</x:t>
  </x:si>
  <x:si>
    <x:t xml:space="preserve">RB3</x:t>
  </x:si>
  <x:si>
    <x:t xml:space="preserve">-15 or worse</x:t>
  </x:si>
  <x:si>
    <x:t xml:space="preserve">Very Expensive</x:t>
  </x:si>
  <x:si>
    <x:t xml:space="preserve">Amon-Ra St. Brown</x:t>
  </x:si>
  <x:si>
    <x:t xml:space="preserve">WR4</x:t>
  </x:si>
  <x:si>
    <x:t xml:space="preserve">Justin Jefferson</x:t>
  </x:si>
  <x:si>
    <x:t xml:space="preserve">WR5</x:t>
  </x:si>
  <x:si>
    <x:t xml:space="preserve">CeeDee Lamb</x:t>
  </x:si>
  <x:si>
    <x:t xml:space="preserve">WR6</x:t>
  </x:si>
  <x:si>
    <x:t xml:space="preserve">James Cook III</x:t>
  </x:si>
  <x:si>
    <x:t xml:space="preserve">RB4</x:t>
  </x:si>
  <x:si>
    <x:t xml:space="preserve">Jonathan Taylor</x:t>
  </x:si>
  <x:si>
    <x:t xml:space="preserve">RB5</x:t>
  </x:si>
  <x:si>
    <x:t xml:space="preserve">Saquon Barkley</x:t>
  </x:si>
  <x:si>
    <x:t xml:space="preserve">RB6</x:t>
  </x:si>
  <x:si>
    <x:t xml:space="preserve">Ashton Jeanty</x:t>
  </x:si>
  <x:si>
    <x:t xml:space="preserve">RB7</x:t>
  </x:si>
  <x:si>
    <x:t xml:space="preserve">DeVonta Smith</x:t>
  </x:si>
  <x:si>
    <x:t xml:space="preserve">WR7</x:t>
  </x:si>
  <x:si>
    <x:t xml:space="preserve">Kenneth Walker III</x:t>
  </x:si>
  <x:si>
    <x:t xml:space="preserve">RB8</x:t>
  </x:si>
  <x:si>
    <x:t xml:space="preserve">SUMMARY OUTPUT</x:t>
  </x:si>
  <x:si>
    <x:t xml:space="preserve">Derrick Henry</x:t>
  </x:si>
  <x:si>
    <x:t xml:space="preserve">RB9</x:t>
  </x:si>
  <x:si>
    <x:t xml:space="preserve">Chase Brown</x:t>
  </x:si>
  <x:si>
    <x:t xml:space="preserve">RB10</x:t>
  </x:si>
  <x:si>
    <x:t xml:space="preserve">Regression Statistics</x:t>
  </x:si>
  <x:si>
    <x:t xml:space="preserve">De'Von Achane</x:t>
  </x:si>
  <x:si>
    <x:t xml:space="preserve">RB11</x:t>
  </x:si>
  <x:si>
    <x:t xml:space="preserve">Multiple R</x:t>
  </x:si>
  <x:si>
    <x:t xml:space="preserve">Drake London</x:t>
  </x:si>
  <x:si>
    <x:t xml:space="preserve">WR8</x:t>
  </x:si>
  <x:si>
    <x:t xml:space="preserve">R Square</x:t>
  </x:si>
  <x:si>
    <x:t xml:space="preserve">Brock Bowers</x:t>
  </x:si>
  <x:si>
    <x:t xml:space="preserve">TE1</x:t>
  </x:si>
  <x:si>
    <x:t xml:space="preserve">TE</x:t>
  </x:si>
  <x:si>
    <x:t xml:space="preserve">Adjusted R Square</x:t>
  </x:si>
  <x:si>
    <x:t xml:space="preserve">Omarion Hampton</x:t>
  </x:si>
  <x:si>
    <x:t xml:space="preserve">RB12</x:t>
  </x:si>
  <x:si>
    <x:t xml:space="preserve">Standard Error</x:t>
  </x:si>
  <x:si>
    <x:t xml:space="preserve">Javonte Williams</x:t>
  </x:si>
  <x:si>
    <x:t xml:space="preserve">RB13</x:t>
  </x:si>
  <x:si>
    <x:t xml:space="preserve">Observations</x:t>
  </x:si>
  <x:si>
    <x:t xml:space="preserve">A.J. Brown</x:t>
  </x:si>
  <x:si>
    <x:t xml:space="preserve">WR9</x:t>
  </x:si>
  <x:si>
    <x:t xml:space="preserve">George Pickens</x:t>
  </x:si>
  <x:si>
    <x:t xml:space="preserve">WR10</x:t>
  </x:si>
  <x:si>
    <x:t xml:space="preserve">ANOVA</x:t>
  </x:si>
  <x:si>
    <x:t xml:space="preserve">Chris Olave</x:t>
  </x:si>
  <x:si>
    <x:t xml:space="preserve">WR11</x:t>
  </x:si>
  <x:si>
    <x:t xml:space="preserve">df</x:t>
  </x:si>
  <x:si>
    <x:t xml:space="preserve">SS</x:t>
  </x:si>
  <x:si>
    <x:t xml:space="preserve">MS</x:t>
  </x:si>
  <x:si>
    <x:t xml:space="preserve">F</x:t>
  </x:si>
  <x:si>
    <x:t xml:space="preserve">Significance F</x:t>
  </x:si>
  <x:si>
    <x:t xml:space="preserve">Nico Collins</x:t>
  </x:si>
  <x:si>
    <x:t xml:space="preserve">WR12</x:t>
  </x:si>
  <x:si>
    <x:t xml:space="preserve">Regression</x:t>
  </x:si>
  <x:si>
    <x:t xml:space="preserve">Trey McBride</x:t>
  </x:si>
  <x:si>
    <x:t xml:space="preserve">TE2</x:t>
  </x:si>
  <x:si>
    <x:t xml:space="preserve">Residual</x:t>
  </x:si>
  <x:si>
    <x:t xml:space="preserve">Rashee Rice</x:t>
  </x:si>
  <x:si>
    <x:t xml:space="preserve">WR13</x:t>
  </x:si>
  <x:si>
    <x:t xml:space="preserve">Total</x:t>
  </x:si>
  <x:si>
    <x:t xml:space="preserve">Malik Nabers</x:t>
  </x:si>
  <x:si>
    <x:t xml:space="preserve">WR14</x:t>
  </x:si>
  <x:si>
    <x:t xml:space="preserve">Ladd McConkey</x:t>
  </x:si>
  <x:si>
    <x:t xml:space="preserve">WR15</x:t>
  </x:si>
  <x:si>
    <x:t xml:space="preserve">Coefficients</x:t>
  </x:si>
  <x:si>
    <x:t xml:space="preserve">t Stat</x:t>
  </x:si>
  <x:si>
    <x:t xml:space="preserve">P-value</x:t>
  </x:si>
  <x:si>
    <x:t xml:space="preserve">Lower 95%</x:t>
  </x:si>
  <x:si>
    <x:t xml:space="preserve">Upper 95%</x:t>
  </x:si>
  <x:si>
    <x:t xml:space="preserve">Lower 95.0%</x:t>
  </x:si>
  <x:si>
    <x:t xml:space="preserve">Upper 95.0%</x:t>
  </x:si>
  <x:si>
    <x:t xml:space="preserve">Jeremiyah Love</x:t>
  </x:si>
  <x:si>
    <x:t xml:space="preserve">RB14</x:t>
  </x:si>
  <x:si>
    <x:t xml:space="preserve">Intercept</x:t>
  </x:si>
  <x:si>
    <x:t xml:space="preserve">Garrett Wilson</x:t>
  </x:si>
  <x:si>
    <x:t xml:space="preserve">WR16</x:t>
  </x:si>
  <x:si>
    <x:t xml:space="preserve">Kyren Williams</x:t>
  </x:si>
  <x:si>
    <x:t xml:space="preserve">RB15</x:t>
  </x:si>
  <x:si>
    <x:t xml:space="preserve">Breece Hall</x:t>
  </x:si>
  <x:si>
    <x:t xml:space="preserve">RB16</x:t>
  </x:si>
  <x:si>
    <x:t xml:space="preserve">Josh Allen</x:t>
  </x:si>
  <x:si>
    <x:t xml:space="preserve">QB1</x:t>
  </x:si>
  <x:si>
    <x:t xml:space="preserve">QB</x:t>
  </x:si>
  <x:si>
    <x:t xml:space="preserve">Zay Flowers</x:t>
  </x:si>
  <x:si>
    <x:t xml:space="preserve">WR17</x:t>
  </x:si>
  <x:si>
    <x:t xml:space="preserve">Emeka Egbuka</x:t>
  </x:si>
  <x:si>
    <x:t xml:space="preserve">WR18</x:t>
  </x:si>
  <x:si>
    <x:t xml:space="preserve">Tee Higgins</x:t>
  </x:si>
  <x:si>
    <x:t xml:space="preserve">WR19</x:t>
  </x:si>
  <x:si>
    <x:t xml:space="preserve">Jaylen Waddle</x:t>
  </x:si>
  <x:si>
    <x:t xml:space="preserve">WR20</x:t>
  </x:si>
  <x:si>
    <x:t xml:space="preserve">Travis Etienne Jr.</x:t>
  </x:si>
  <x:si>
    <x:t xml:space="preserve">RB17</x:t>
  </x:si>
  <x:si>
    <x:t xml:space="preserve">Colston Loveland</x:t>
  </x:si>
  <x:si>
    <x:t xml:space="preserve">TE3</x:t>
  </x:si>
  <x:si>
    <x:t xml:space="preserve">Davante Adams</x:t>
  </x:si>
  <x:si>
    <x:t xml:space="preserve">WR21</x:t>
  </x:si>
  <x:si>
    <x:t xml:space="preserve">Terry McLaurin</x:t>
  </x:si>
  <x:si>
    <x:t xml:space="preserve">WR22</x:t>
  </x:si>
  <x:si>
    <x:t xml:space="preserve">Luther Burden III</x:t>
  </x:si>
  <x:si>
    <x:t xml:space="preserve">WR23</x:t>
  </x:si>
  <x:si>
    <x:t xml:space="preserve">D'Andre Swift</x:t>
  </x:si>
  <x:si>
    <x:t xml:space="preserve">RB18</x:t>
  </x:si>
  <x:si>
    <x:t xml:space="preserve">Cam Skattebo</x:t>
  </x:si>
  <x:si>
    <x:t xml:space="preserve">RB19</x:t>
  </x:si>
  <x:si>
    <x:t xml:space="preserve">Tetairoa McMillan</x:t>
  </x:si>
  <x:si>
    <x:t xml:space="preserve">WR24</x:t>
  </x:si>
  <x:si>
    <x:t xml:space="preserve">Jameson Williams</x:t>
  </x:si>
  <x:si>
    <x:t xml:space="preserve">WR25</x:t>
  </x:si>
  <x:si>
    <x:t xml:space="preserve">DJ Moore</x:t>
  </x:si>
  <x:si>
    <x:t xml:space="preserve">WR26</x:t>
  </x:si>
  <x:si>
    <x:t xml:space="preserve">David Montgomery</x:t>
  </x:si>
  <x:si>
    <x:t xml:space="preserve">RB20</x:t>
  </x:si>
  <x:si>
    <x:t xml:space="preserve">Mike Evans</x:t>
  </x:si>
  <x:si>
    <x:t xml:space="preserve">WR27</x:t>
  </x:si>
  <x:si>
    <x:t xml:space="preserve">Bucky Irving</x:t>
  </x:si>
  <x:si>
    <x:t xml:space="preserve">RB21</x:t>
  </x:si>
  <x:si>
    <x:t xml:space="preserve">Chris Rodriguez Jr.</x:t>
  </x:si>
  <x:si>
    <x:t xml:space="preserve">RB22</x:t>
  </x:si>
  <x:si>
    <x:t xml:space="preserve">Lamar Jackson</x:t>
  </x:si>
  <x:si>
    <x:t xml:space="preserve">QB2</x:t>
  </x:si>
  <x:si>
    <x:t xml:space="preserve">Josh Jacobs</x:t>
  </x:si>
  <x:si>
    <x:t xml:space="preserve">RB23</x:t>
  </x:si>
  <x:si>
    <x:t xml:space="preserve">Parker Washington</x:t>
  </x:si>
  <x:si>
    <x:t xml:space="preserve">WR28</x:t>
  </x:si>
  <x:si>
    <x:t xml:space="preserve">Bhayshul Tuten</x:t>
  </x:si>
  <x:si>
    <x:t xml:space="preserve">RB24</x:t>
  </x:si>
  <x:si>
    <x:t xml:space="preserve">Christian Watson</x:t>
  </x:si>
  <x:si>
    <x:t xml:space="preserve">WR29</x:t>
  </x:si>
  <x:si>
    <x:t xml:space="preserve">Jadarian Price</x:t>
  </x:si>
  <x:si>
    <x:t xml:space="preserve">RB25</x:t>
  </x:si>
  <x:si>
    <x:t xml:space="preserve">Joe Burrow</x:t>
  </x:si>
  <x:si>
    <x:t xml:space="preserve">QB3</x:t>
  </x:si>
  <x:si>
    <x:t xml:space="preserve">Tyler Warren</x:t>
  </x:si>
  <x:si>
    <x:t xml:space="preserve">TE4</x:t>
  </x:si>
  <x:si>
    <x:t xml:space="preserve">TreVeyon Henderson</x:t>
  </x:si>
  <x:si>
    <x:t xml:space="preserve">RB26</x:t>
  </x:si>
  <x:si>
    <x:t xml:space="preserve">Jayden Daniels</x:t>
  </x:si>
  <x:si>
    <x:t xml:space="preserve">QB4</x:t>
  </x:si>
  <x:si>
    <x:t xml:space="preserve">Quinshon Judkins</x:t>
  </x:si>
  <x:si>
    <x:t xml:space="preserve">RB27</x:t>
  </x:si>
  <x:si>
    <x:t xml:space="preserve">Drake Maye</x:t>
  </x:si>
  <x:si>
    <x:t xml:space="preserve">QB5</x:t>
  </x:si>
  <x:si>
    <x:t xml:space="preserve">Rhamondre Stevenson</x:t>
  </x:si>
  <x:si>
    <x:t xml:space="preserve">RB28</x:t>
  </x:si>
  <x:si>
    <x:t xml:space="preserve">Rome Odunze</x:t>
  </x:si>
  <x:si>
    <x:t xml:space="preserve">WR30</x:t>
  </x:si>
  <x:si>
    <x:t xml:space="preserve">Tony Pollard</x:t>
  </x:si>
  <x:si>
    <x:t xml:space="preserve">RB29</x:t>
  </x:si>
  <x:si>
    <x:t xml:space="preserve">Marvin Harrison Jr.</x:t>
  </x:si>
  <x:si>
    <x:t xml:space="preserve">WR31</x:t>
  </x:si>
  <x:si>
    <x:t xml:space="preserve">Carnell Tate</x:t>
  </x:si>
  <x:si>
    <x:t xml:space="preserve">WR32</x:t>
  </x:si>
  <x:si>
    <x:t xml:space="preserve">Caleb Williams</x:t>
  </x:si>
  <x:si>
    <x:t xml:space="preserve">QB6</x:t>
  </x:si>
  <x:si>
    <x:t xml:space="preserve">DK Metcalf</x:t>
  </x:si>
  <x:si>
    <x:t xml:space="preserve">WR33</x:t>
  </x:si>
  <x:si>
    <x:t xml:space="preserve">Jalen Hurts</x:t>
  </x:si>
  <x:si>
    <x:t xml:space="preserve">QB7</x:t>
  </x:si>
  <x:si>
    <x:t xml:space="preserve">Dak Prescott</x:t>
  </x:si>
  <x:si>
    <x:t xml:space="preserve">QB8</x:t>
  </x:si>
  <x:si>
    <x:t xml:space="preserve">Jaylen Warren</x:t>
  </x:si>
  <x:si>
    <x:t xml:space="preserve">RB30</x:t>
  </x:si>
  <x:si>
    <x:t xml:space="preserve">Brian Thomas Jr.</x:t>
  </x:si>
  <x:si>
    <x:t xml:space="preserve">WR34</x:t>
  </x:si>
  <x:si>
    <x:t xml:space="preserve">Rico Dowdle</x:t>
  </x:si>
  <x:si>
    <x:t xml:space="preserve">RB31</x:t>
  </x:si>
  <x:si>
    <x:t xml:space="preserve">Justin Herbert</x:t>
  </x:si>
  <x:si>
    <x:t xml:space="preserve">QB9</x:t>
  </x:si>
  <x:si>
    <x:t xml:space="preserve">Trevor Lawrence</x:t>
  </x:si>
  <x:si>
    <x:t xml:space="preserve">QB10</x:t>
  </x:si>
  <x:si>
    <x:t xml:space="preserve">Matthew Stafford</x:t>
  </x:si>
  <x:si>
    <x:t xml:space="preserve">QB11</x:t>
  </x:si>
  <x:si>
    <x:t xml:space="preserve">Jayden Reed</x:t>
  </x:si>
  <x:si>
    <x:t xml:space="preserve">WR35</x:t>
  </x:si>
  <x:si>
    <x:t xml:space="preserve">Tucker Kraft</x:t>
  </x:si>
  <x:si>
    <x:t xml:space="preserve">TE5</x:t>
  </x:si>
  <x:si>
    <x:t xml:space="preserve">Quentin Johnston</x:t>
  </x:si>
  <x:si>
    <x:t xml:space="preserve">WR36</x:t>
  </x:si>
  <x:si>
    <x:t xml:space="preserve">Chris Godwin Jr.</x:t>
  </x:si>
  <x:si>
    <x:t xml:space="preserve">WR37</x:t>
  </x:si>
  <x:si>
    <x:t xml:space="preserve">Jordan Addison</x:t>
  </x:si>
  <x:si>
    <x:t xml:space="preserve">WR38</x:t>
  </x:si>
  <x:si>
    <x:t xml:space="preserve">Josh Downs</x:t>
  </x:si>
  <x:si>
    <x:t xml:space="preserve">WR39</x:t>
  </x:si>
  <x:si>
    <x:t xml:space="preserve">Chuba Hubbard</x:t>
  </x:si>
  <x:si>
    <x:t xml:space="preserve">RB32</x:t>
  </x:si>
  <x:si>
    <x:t xml:space="preserve">MarShawn Lloyd</x:t>
  </x:si>
  <x:si>
    <x:t xml:space="preserve">RB33</x:t>
  </x:si>
  <x:si>
    <x:t xml:space="preserve">Brock Purdy</x:t>
  </x:si>
  <x:si>
    <x:t xml:space="preserve">QB12</x:t>
  </x:si>
  <x:si>
    <x:t xml:space="preserve">Patrick Mahomes</x:t>
  </x:si>
  <x:si>
    <x:t xml:space="preserve">QB13</x:t>
  </x:si>
  <x:si>
    <x:t xml:space="preserve">Jonathon Brooks</x:t>
  </x:si>
  <x:si>
    <x:t xml:space="preserve">RB34</x:t>
  </x:si>
  <x:si>
    <x:t xml:space="preserve">Courtland Sutton</x:t>
  </x:si>
  <x:si>
    <x:t xml:space="preserve">WR40</x:t>
  </x:si>
  <x:si>
    <x:t xml:space="preserve">RJ Harvey</x:t>
  </x:si>
  <x:si>
    <x:t xml:space="preserve">RB35</x:t>
  </x:si>
  <x:si>
    <x:t xml:space="preserve">Stefon Diggs</x:t>
  </x:si>
  <x:si>
    <x:t xml:space="preserve">WR41</x:t>
  </x:si>
  <x:si>
    <x:t xml:space="preserve">Kyle Pitts Sr.</x:t>
  </x:si>
  <x:si>
    <x:t xml:space="preserve">TE6</x:t>
  </x:si>
  <x:si>
    <x:t xml:space="preserve">Kenneth Gainwell</x:t>
  </x:si>
  <x:si>
    <x:t xml:space="preserve">RB36</x:t>
  </x:si>
  <x:si>
    <x:t xml:space="preserve">Blake Corum</x:t>
  </x:si>
  <x:si>
    <x:t xml:space="preserve">RB37</x:t>
  </x:si>
  <x:si>
    <x:t xml:space="preserve">Michael Pittman Jr.</x:t>
  </x:si>
  <x:si>
    <x:t xml:space="preserve">WR42</x:t>
  </x:si>
  <x:si>
    <x:t xml:space="preserve">Michael Wilson</x:t>
  </x:si>
  <x:si>
    <x:t xml:space="preserve">WR43</x:t>
  </x:si>
  <x:si>
    <x:t xml:space="preserve">Harold Fannin Jr.</x:t>
  </x:si>
  <x:si>
    <x:t xml:space="preserve">TE7</x:t>
  </x:si>
  <x:si>
    <x:t xml:space="preserve">Jaxson Dart</x:t>
  </x:si>
  <x:si>
    <x:t xml:space="preserve">QB14</x:t>
  </x:si>
  <x:si>
    <x:t xml:space="preserve">Jared Goff</x:t>
  </x:si>
  <x:si>
    <x:t xml:space="preserve">QB15</x:t>
  </x:si>
  <x:si>
    <x:t xml:space="preserve">J.K. Dobbins</x:t>
  </x:si>
  <x:si>
    <x:t xml:space="preserve">RB38</x:t>
  </x:si>
  <x:si>
    <x:t xml:space="preserve">Jordan Love</x:t>
  </x:si>
  <x:si>
    <x:t xml:space="preserve">QB16</x:t>
  </x:si>
  <x:si>
    <x:t xml:space="preserve">Makai Lemon</x:t>
  </x:si>
  <x:si>
    <x:t xml:space="preserve">WR44</x:t>
  </x:si>
  <x:si>
    <x:t xml:space="preserve">Kyler Murray</x:t>
  </x:si>
  <x:si>
    <x:t xml:space="preserve">QB17</x:t>
  </x:si>
  <x:si>
    <x:t xml:space="preserve">Bo Nix</x:t>
  </x:si>
  <x:si>
    <x:t xml:space="preserve">QB18</x:t>
  </x:si>
  <x:si>
    <x:t xml:space="preserve">Xavier Worthy</x:t>
  </x:si>
  <x:si>
    <x:t xml:space="preserve">WR45</x:t>
  </x:si>
  <x:si>
    <x:t xml:space="preserve">Alec Pierce</x:t>
  </x:si>
  <x:si>
    <x:t xml:space="preserve">WR46</x:t>
  </x:si>
  <x:si>
    <x:t xml:space="preserve">George Kittle</x:t>
  </x:si>
  <x:si>
    <x:t xml:space="preserve">TE8</x:t>
  </x:si>
  <x:si>
    <x:t xml:space="preserve">Wan'Dale Robinson</x:t>
  </x:si>
  <x:si>
    <x:t xml:space="preserve">WR47</x:t>
  </x:si>
  <x:si>
    <x:t xml:space="preserve">Matthew Golden</x:t>
  </x:si>
  <x:si>
    <x:t xml:space="preserve">WR48</x:t>
  </x:si>
  <x:si>
    <x:t xml:space="preserve">Baker Mayfield</x:t>
  </x:si>
  <x:si>
    <x:t xml:space="preserve">QB19</x:t>
  </x:si>
  <x:si>
    <x:t xml:space="preserve">Jakobi Meyers</x:t>
  </x:si>
  <x:si>
    <x:t xml:space="preserve">WR49</x:t>
  </x:si>
  <x:si>
    <x:t xml:space="preserve">Dalton Kincaid</x:t>
  </x:si>
  <x:si>
    <x:t xml:space="preserve">TE9</x:t>
  </x:si>
  <x:si>
    <x:t xml:space="preserve">Jacory Croskey-Merritt</x:t>
  </x:si>
  <x:si>
    <x:t xml:space="preserve">RB39</x:t>
  </x:si>
  <x:si>
    <x:t xml:space="preserve">Khalil Shakir</x:t>
  </x:si>
  <x:si>
    <x:t xml:space="preserve">WR50</x:t>
  </x:si>
  <x:si>
    <x:t xml:space="preserve">Jordan Mason</x:t>
  </x:si>
  <x:si>
    <x:t xml:space="preserve">RB40</x:t>
  </x:si>
  <x:si>
    <x:t xml:space="preserve">KC Concepcion</x:t>
  </x:si>
  <x:si>
    <x:t xml:space="preserve">WR51</x:t>
  </x:si>
  <x:si>
    <x:t xml:space="preserve">Travis Kelce</x:t>
  </x:si>
  <x:si>
    <x:t xml:space="preserve">TE10</x:t>
  </x:si>
  <x:si>
    <x:t xml:space="preserve">De'Zhaun Stribling</x:t>
  </x:si>
  <x:si>
    <x:t xml:space="preserve">WR52</x:t>
  </x:si>
  <x:si>
    <x:t xml:space="preserve">Romeo Doubs</x:t>
  </x:si>
  <x:si>
    <x:t xml:space="preserve">WR53</x:t>
  </x:si>
  <x:si>
    <x:t xml:space="preserve">Dallas Goedert</x:t>
  </x:si>
  <x:si>
    <x:t xml:space="preserve">TE11</x:t>
  </x:si>
  <x:si>
    <x:t xml:space="preserve">Rachaad White</x:t>
  </x:si>
  <x:si>
    <x:t xml:space="preserve">RB41</x:t>
  </x:si>
  <x:si>
    <x:t xml:space="preserve">Kyle Monangai</x:t>
  </x:si>
  <x:si>
    <x:t xml:space="preserve">RB42</x:t>
  </x:si>
  <x:si>
    <x:t xml:space="preserve">Tyler Shough</x:t>
  </x:si>
  <x:si>
    <x:t xml:space="preserve">QB20</x:t>
  </x:si>
  <x:si>
    <x:t xml:space="preserve">Malik Willis</x:t>
  </x:si>
  <x:si>
    <x:t xml:space="preserve">QB21</x:t>
  </x:si>
  <x:si>
    <x:t xml:space="preserve">Sam LaPorta</x:t>
  </x:si>
  <x:si>
    <x:t xml:space="preserve">TE12</x:t>
  </x:si>
  <x:si>
    <x:t xml:space="preserve">Deebo Samuel Sr.</x:t>
  </x:si>
  <x:si>
    <x:t xml:space="preserve">WR54</x:t>
  </x:si>
  <x:si>
    <x:t xml:space="preserve">Isaiah Likely</x:t>
  </x:si>
  <x:si>
    <x:t xml:space="preserve">TE13</x:t>
  </x:si>
  <x:si>
    <x:t xml:space="preserve">Jake Ferguson</x:t>
  </x:si>
  <x:si>
    <x:t xml:space="preserve">TE14</x:t>
  </x:si>
  <x:si>
    <x:t xml:space="preserve">Jalen Coker</x:t>
  </x:si>
  <x:si>
    <x:t xml:space="preserve">WR55</x:t>
  </x:si>
  <x:si>
    <x:t xml:space="preserve">Mark Andrews</x:t>
  </x:si>
  <x:si>
    <x:t xml:space="preserve">TE15</x:t>
  </x:si>
  <x:si>
    <x:t xml:space="preserve">Aaron Jones Sr.</x:t>
  </x:si>
  <x:si>
    <x:t xml:space="preserve">RB43</x:t>
  </x:si>
  <x:si>
    <x:t xml:space="preserve">Sam Darnold</x:t>
  </x:si>
  <x:si>
    <x:t xml:space="preserve">QB22</x:t>
  </x:si>
  <x:si>
    <x:t xml:space="preserve">Keaton Mitchell</x:t>
  </x:si>
  <x:si>
    <x:t xml:space="preserve">RB44</x:t>
  </x:si>
  <x:si>
    <x:t xml:space="preserve">C.J. Stroud</x:t>
  </x:si>
  <x:si>
    <x:t xml:space="preserve">QB23</x:t>
  </x:si>
  <x:si>
    <x:t xml:space="preserve">Daniel Jones</x:t>
  </x:si>
  <x:si>
    <x:t xml:space="preserve">QB24</x:t>
  </x:si>
  <x:si>
    <x:t xml:space="preserve">Juwan Johnson</x:t>
  </x:si>
  <x:si>
    <x:t xml:space="preserve">TE16</x:t>
  </x:si>
  <x:si>
    <x:t xml:space="preserve">Rashid Shaheed</x:t>
  </x:si>
  <x:si>
    <x:t xml:space="preserve">WR56</x:t>
  </x:si>
  <x:si>
    <x:t xml:space="preserve">Jordyn Tyson</x:t>
  </x:si>
  <x:si>
    <x:t xml:space="preserve">WR57</x:t>
  </x:si>
  <x:si>
    <x:t xml:space="preserve">Jalen McMillan</x:t>
  </x:si>
  <x:si>
    <x:t xml:space="preserve">WR58</x:t>
  </x:si>
  <x:si>
    <x:t xml:space="preserve">Woody Marks</x:t>
  </x:si>
  <x:si>
    <x:t xml:space="preserve">RB45</x:t>
  </x:si>
  <x:si>
    <x:t xml:space="preserve">Denzel Boston</x:t>
  </x:si>
  <x:si>
    <x:t xml:space="preserve">WR59</x:t>
  </x:si>
  <x:si>
    <x:t xml:space="preserve">Brenton Strange</x:t>
  </x:si>
  <x:si>
    <x:t xml:space="preserve">TE17</x:t>
  </x:si>
  <x:si>
    <x:t xml:space="preserve">Chig Okonkwo</x:t>
  </x:si>
  <x:si>
    <x:t xml:space="preserve">TE18</x:t>
  </x:si>
  <x:si>
    <x:t xml:space="preserve">Keenan Allen</x:t>
  </x:si>
  <x:si>
    <x:t xml:space="preserve">WR60</x:t>
  </x:si>
  <x:si>
    <x:t xml:space="preserve">Cam Ward</x:t>
  </x:si>
  <x:si>
    <x:t xml:space="preserve">QB25</x:t>
  </x:si>
  <x:si>
    <x:t xml:space="preserve">Hunter Henry</x:t>
  </x:si>
  <x:si>
    <x:t xml:space="preserve">TE19</x:t>
  </x:si>
  <x:si>
    <x:t xml:space="preserve">Cade Otton</x:t>
  </x:si>
  <x:si>
    <x:t xml:space="preserve">TE20</x:t>
  </x:si>
  <x:si>
    <x:t xml:space="preserve">Tyjae Spears</x:t>
  </x:si>
  <x:si>
    <x:t xml:space="preserve">RB46</x:t>
  </x:si>
  <x:si>
    <x:t xml:space="preserve">Terrance Ferguson</x:t>
  </x:si>
  <x:si>
    <x:t xml:space="preserve">TE21</x:t>
  </x:si>
  <x:si>
    <x:t xml:space="preserve">Ryan Flournoy</x:t>
  </x:si>
  <x:si>
    <x:t xml:space="preserve">WR61</x:t>
  </x:si>
  <x:si>
    <x:t xml:space="preserve">Tyrone Tracy Jr.</x:t>
  </x:si>
  <x:si>
    <x:t xml:space="preserve">RB47</x:t>
  </x:si>
  <x:si>
    <x:t xml:space="preserve">Bryce Young</x:t>
  </x:si>
  <x:si>
    <x:t xml:space="preserve">QB26</x:t>
  </x:si>
  <x:si>
    <x:t xml:space="preserve">Brian Robinson Jr.</x:t>
  </x:si>
  <x:si>
    <x:t xml:space="preserve">RB48</x:t>
  </x:si>
  <x:si>
    <x:t xml:space="preserve">Jalen Nailor</x:t>
  </x:si>
  <x:si>
    <x:t xml:space="preserve">WR62</x:t>
  </x:si>
  <x:si>
    <x:t xml:space="preserve">Tre Tucker</x:t>
  </x:si>
  <x:si>
    <x:t xml:space="preserve">WR63</x:t>
  </x:si>
  <x:si>
    <x:t xml:space="preserve">Dylan Sampson</x:t>
  </x:si>
  <x:si>
    <x:t xml:space="preserve">RB49</x:t>
  </x:si>
  <x:si>
    <x:t xml:space="preserve">Tank Bigsby</x:t>
  </x:si>
  <x:si>
    <x:t xml:space="preserve">RB50</x:t>
  </x:si>
  <x:si>
    <x:t xml:space="preserve">Tyler Allgeier</x:t>
  </x:si>
  <x:si>
    <x:t xml:space="preserve">RB51</x:t>
  </x:si>
  <x:si>
    <x:t xml:space="preserve">Kayshon Boutte</x:t>
  </x:si>
  <x:si>
    <x:t xml:space="preserve">WR64</x:t>
  </x:si>
  <x:si>
    <x:t xml:space="preserve">T.J. Hockenson</x:t>
  </x:si>
  <x:si>
    <x:t xml:space="preserve">TE22</x:t>
  </x:si>
  <x:si>
    <x:t xml:space="preserve">Dalton Schultz</x:t>
  </x:si>
  <x:si>
    <x:t xml:space="preserve">TE23</x:t>
  </x:si>
  <x:si>
    <x:t xml:space="preserve">Aaron Rodgers</x:t>
  </x:si>
  <x:si>
    <x:t xml:space="preserve">QB27</x:t>
  </x:si>
  <x:si>
    <x:t xml:space="preserve">Jonah Coleman</x:t>
  </x:si>
  <x:si>
    <x:t xml:space="preserve">RB52</x:t>
  </x:si>
  <x:si>
    <x:t xml:space="preserve">Devaughn Vele</x:t>
  </x:si>
  <x:si>
    <x:t xml:space="preserve">WR65</x:t>
  </x:si>
  <x:si>
    <x:t xml:space="preserve">Zach Charbonnet</x:t>
  </x:si>
  <x:si>
    <x:t xml:space="preserve">RB53</x:t>
  </x:si>
  <x:si>
    <x:t xml:space="preserve">Ja'Kobi Lane</x:t>
  </x:si>
  <x:si>
    <x:t xml:space="preserve">WR66</x:t>
  </x:si>
  <x:si>
    <x:t xml:space="preserve">Ray Davis</x:t>
  </x:si>
  <x:si>
    <x:t xml:space="preserve">RB54</x:t>
  </x:si>
  <x:si>
    <x:t xml:space="preserve">Calvin Ridley</x:t>
  </x:si>
  <x:si>
    <x:t xml:space="preserve">WR67</x:t>
  </x:si>
  <x:si>
    <x:t xml:space="preserve">Adonai Mitchell</x:t>
  </x:si>
  <x:si>
    <x:t xml:space="preserve">WR68</x:t>
  </x:si>
  <x:si>
    <x:t xml:space="preserve">Pat Freiermuth</x:t>
  </x:si>
  <x:si>
    <x:t xml:space="preserve">TE24</x:t>
  </x:si>
  <x:si>
    <x:t xml:space="preserve">Pat Bryant</x:t>
  </x:si>
  <x:si>
    <x:t xml:space="preserve">WR69</x:t>
  </x:si>
  <x:si>
    <x:t xml:space="preserve">Tre' Harris</x:t>
  </x:si>
  <x:si>
    <x:t xml:space="preserve">WR70</x:t>
  </x:si>
  <x:si>
    <x:t xml:space="preserve">Omar Cooper Jr.</x:t>
  </x:si>
  <x:si>
    <x:t xml:space="preserve">WR71</x:t>
  </x:si>
  <x:si>
    <x:t xml:space="preserve">Fernando Mendoza</x:t>
  </x:si>
  <x:si>
    <x:t xml:space="preserve">QB28</x:t>
  </x:si>
  <x:si>
    <x:t xml:space="preserve">Jaylin Noel</x:t>
  </x:si>
  <x:si>
    <x:t xml:space="preserve">WR72</x:t>
  </x:si>
  <x:si>
    <x:t xml:space="preserve">Isaac TeSlaa</x:t>
  </x:si>
  <x:si>
    <x:t xml:space="preserve">WR73</x:t>
  </x:si>
  <x:si>
    <x:t xml:space="preserve">Jerry Jeudy</x:t>
  </x:si>
  <x:si>
    <x:t xml:space="preserve">WR74</x:t>
  </x:si>
  <x:si>
    <x:t xml:space="preserve">Germie Bernard</x:t>
  </x:si>
  <x:si>
    <x:t xml:space="preserve">WR75</x:t>
  </x:si>
  <x:si>
    <x:t xml:space="preserve">Malachi Fields</x:t>
  </x:si>
  <x:si>
    <x:t xml:space="preserve">WR76</x:t>
  </x:si>
  <x:si>
    <x:t xml:space="preserve">Dontayvion Wicks</x:t>
  </x:si>
  <x:si>
    <x:t xml:space="preserve">WR77</x:t>
  </x:si>
  <x:si>
    <x:t xml:space="preserve">Justice Hill</x:t>
  </x:si>
  <x:si>
    <x:t xml:space="preserve">RB55</x:t>
  </x:si>
  <x:si>
    <x:t xml:space="preserve">Emmett Johnson</x:t>
  </x:si>
  <x:si>
    <x:t xml:space="preserve">RB56</x:t>
  </x:si>
  <x:si>
    <x:t xml:space="preserve">Najee Harris</x:t>
  </x:si>
  <x:si>
    <x:t xml:space="preserve">RB57</x:t>
  </x:si>
  <x:si>
    <x:t xml:space="preserve">Pierre Strong Jr.</x:t>
  </x:si>
  <x:si>
    <x:t xml:space="preserve">RB58</x:t>
  </x:si>
  <x:si>
    <x:t xml:space="preserve">Zachariah Branch</x:t>
  </x:si>
  <x:si>
    <x:t xml:space="preserve">WR78</x:t>
  </x:si>
  <x:si>
    <x:t xml:space="preserve">Samaje Perine</x:t>
  </x:si>
  <x:si>
    <x:t xml:space="preserve">RB59</x:t>
  </x:si>
  <x:si>
    <x:t xml:space="preserve">Jacoby Brissett</x:t>
  </x:si>
  <x:si>
    <x:t xml:space="preserve">QB29</x:t>
  </x:si>
  <x:si>
    <x:t xml:space="preserve">Travis Hunter</x:t>
  </x:si>
  <x:si>
    <x:t xml:space="preserve">WR79</x:t>
  </x:si>
  <x:si>
    <x:t xml:space="preserve">Oronde Gadsden II</x:t>
  </x:si>
  <x:si>
    <x:t xml:space="preserve">TE25</x:t>
  </x:si>
  <x:si>
    <x:t xml:space="preserve">Rashod Bateman</x:t>
  </x:si>
  <x:si>
    <x:t xml:space="preserve">WR80</x:t>
  </x:si>
  <x:si>
    <x:t xml:space="preserve">Geno Smith</x:t>
  </x:si>
  <x:si>
    <x:t xml:space="preserve">QB30</x:t>
  </x:si>
  <x:si>
    <x:t xml:space="preserve">Braelon Allen</x:t>
  </x:si>
  <x:si>
    <x:t xml:space="preserve">RB60</x:t>
  </x:si>
  <x:si>
    <x:t xml:space="preserve">Chris Bell</x:t>
  </x:si>
  <x:si>
    <x:t xml:space="preserve">WR81</x:t>
  </x:si>
  <x:si>
    <x:t xml:space="preserve">Kaytron Allen</x:t>
  </x:si>
  <x:si>
    <x:t xml:space="preserve">RB61</x:t>
  </x:si>
  <x:si>
    <x:t xml:space="preserve">Kenyon Sadiq</x:t>
  </x:si>
  <x:si>
    <x:t xml:space="preserve">TE26</x:t>
  </x:si>
  <x:si>
    <x:t xml:space="preserve">Charlie Kolar</x:t>
  </x:si>
  <x:si>
    <x:t xml:space="preserve">TE27</x:t>
  </x:si>
  <x:si>
    <x:t xml:space="preserve">Ted Hurst</x:t>
  </x:si>
  <x:si>
    <x:t xml:space="preserve">WR82</x:t>
  </x:si>
  <x:si>
    <x:t xml:space="preserve">Cooper Kupp</x:t>
  </x:si>
  <x:si>
    <x:t xml:space="preserve">WR83</x:t>
  </x:si>
  <x:si>
    <x:t xml:space="preserve">Jauan Jennings</x:t>
  </x:si>
  <x:si>
    <x:t xml:space="preserve">WR84</x:t>
  </x:si>
  <x:si>
    <x:t xml:space="preserve">AJ Barner</x:t>
  </x:si>
  <x:si>
    <x:t xml:space="preserve">TE28</x:t>
  </x:si>
  <x:si>
    <x:t xml:space="preserve">Malik Washington</x:t>
  </x:si>
  <x:si>
    <x:t xml:space="preserve">WR85</x:t>
  </x:si>
  <x:si>
    <x:t xml:space="preserve">Greg Dulcich</x:t>
  </x:si>
  <x:si>
    <x:t xml:space="preserve">TE29</x:t>
  </x:si>
  <x:si>
    <x:t xml:space="preserve">Mike Gesicki</x:t>
  </x:si>
  <x:si>
    <x:t xml:space="preserve">TE30</x:t>
  </x:si>
  <x:si>
    <x:t xml:space="preserve">Gunnar Helm</x:t>
  </x:si>
  <x:si>
    <x:t xml:space="preserve">TE31</x:t>
  </x:si>
  <x:si>
    <x:t xml:space="preserve">Nicholas Singleton</x:t>
  </x:si>
  <x:si>
    <x:t xml:space="preserve">RB62</x:t>
  </x:si>
  <x:si>
    <x:t xml:space="preserve">Trevor Etienne</x:t>
  </x:si>
  <x:si>
    <x:t xml:space="preserve">RB63</x:t>
  </x:si>
  <x:si>
    <x:t xml:space="preserve">Colby Parkinson</x:t>
  </x:si>
  <x:si>
    <x:t xml:space="preserve">TE32</x:t>
  </x:si>
  <x:si>
    <x:t xml:space="preserve">Kimani Vidal</x:t>
  </x:si>
  <x:si>
    <x:t xml:space="preserve">RB64</x:t>
  </x:si>
  <x:si>
    <x:t xml:space="preserve">Kaelon Black</x:t>
  </x:si>
  <x:si>
    <x:t xml:space="preserve">RB65</x:t>
  </x:si>
  <x:si>
    <x:t xml:space="preserve">Mike Washington Jr.</x:t>
  </x:si>
  <x:si>
    <x:t xml:space="preserve">RB66</x:t>
  </x:si>
  <x:si>
    <x:t xml:space="preserve">Tyquan Thornton</x:t>
  </x:si>
  <x:si>
    <x:t xml:space="preserve">WR86</x:t>
  </x:si>
  <x:si>
    <x:t xml:space="preserve">Demond Claiborne</x:t>
  </x:si>
  <x:si>
    <x:t xml:space="preserve">RB67</x:t>
  </x:si>
  <x:si>
    <x:t xml:space="preserve">Emanuel Wilson</x:t>
  </x:si>
  <x:si>
    <x:t xml:space="preserve">RB68</x:t>
  </x:si>
  <x:si>
    <x:t xml:space="preserve">Seth McGowan</x:t>
  </x:si>
  <x:si>
    <x:t xml:space="preserve">RB69</x:t>
  </x:si>
  <x:si>
    <x:t xml:space="preserve">Tua Tagovailoa</x:t>
  </x:si>
  <x:si>
    <x:t xml:space="preserve">QB31</x:t>
  </x:si>
  <x:si>
    <x:t xml:space="preserve">Andrei Iosivas</x:t>
  </x:si>
  <x:si>
    <x:t xml:space="preserve">WR87</x:t>
  </x:si>
  <x:si>
    <x:t xml:space="preserve">Cyrus Allen</x:t>
  </x:si>
  <x:si>
    <x:t xml:space="preserve">WR88</x:t>
  </x:si>
  <x:si>
    <x:t xml:space="preserve">Jordan James</x:t>
  </x:si>
  <x:si>
    <x:t xml:space="preserve">RB70</x:t>
  </x:si>
  <x:si>
    <x:t xml:space="preserve">Malik Davis</x:t>
  </x:si>
  <x:si>
    <x:t xml:space="preserve">RB71</x:t>
  </x:si>
  <x:si>
    <x:t xml:space="preserve">Alvin Kamara</x:t>
  </x:si>
  <x:si>
    <x:t xml:space="preserve">RB72</x:t>
  </x:si>
  <x:si>
    <x:t xml:space="preserve">Darius Slayton</x:t>
  </x:si>
  <x:si>
    <x:t xml:space="preserve">WR89</x:t>
  </x:si>
  <x:si>
    <x:t xml:space="preserve">Jonnu Smith</x:t>
  </x:si>
  <x:si>
    <x:t xml:space="preserve">TE33</x:t>
  </x:si>
  <x:si>
    <x:t xml:space="preserve">Chris Brooks</x:t>
  </x:si>
  <x:si>
    <x:t xml:space="preserve">RB73</x:t>
  </x:si>
  <x:si>
    <x:t xml:space="preserve">Caleb Douglas</x:t>
  </x:si>
  <x:si>
    <x:t xml:space="preserve">WR90</x:t>
  </x:si>
  <x:si>
    <x:t xml:space="preserve">Tank Dell</x:t>
  </x:si>
  <x:si>
    <x:t xml:space="preserve">WR91</x:t>
  </x:si>
  <x:si>
    <x:t xml:space="preserve">Antonio Williams</x:t>
  </x:si>
  <x:si>
    <x:t xml:space="preserve">WR92</x:t>
  </x:si>
  <x:si>
    <x:t xml:space="preserve">Odell Beckham Jr.</x:t>
  </x:si>
  <x:si>
    <x:t xml:space="preserve">WR93</x:t>
  </x:si>
  <x:si>
    <x:t xml:space="preserve">Mack Hollins</x:t>
  </x:si>
  <x:si>
    <x:t xml:space="preserve">WR94</x:t>
  </x:si>
  <x:si>
    <x:t xml:space="preserve">George Holani</x:t>
  </x:si>
  <x:si>
    <x:t xml:space="preserve">RB74</x:t>
  </x:si>
  <x:si>
    <x:t xml:space="preserve">Evan Engram</x:t>
  </x:si>
  <x:si>
    <x:t xml:space="preserve">TE34</x:t>
  </x:si>
  <x:si>
    <x:t xml:space="preserve">Michael Mayer</x:t>
  </x:si>
  <x:si>
    <x:t xml:space="preserve">TE35</x:t>
  </x:si>
  <x:si>
    <x:t xml:space="preserve">Ty Johnson</x:t>
  </x:si>
  <x:si>
    <x:t xml:space="preserve">RB75</x:t>
  </x:si>
  <x:si>
    <x:t xml:space="preserve">Michael Penix Jr.</x:t>
  </x:si>
  <x:si>
    <x:t xml:space="preserve">QB32</x:t>
  </x:si>
  <x:si>
    <x:t xml:space="preserve">Jahan Dotson</x:t>
  </x:si>
  <x:si>
    <x:t xml:space="preserve">WR95</x:t>
  </x:si>
  <x:si>
    <x:t xml:space="preserve">Xavier Hutchinson</x:t>
  </x:si>
  <x:si>
    <x:t xml:space="preserve">WR96</x:t>
  </x:si>
  <x:si>
    <x:t xml:space="preserve">Kendrick Bourne</x:t>
  </x:si>
  <x:si>
    <x:t xml:space="preserve">WR97</x:t>
  </x:si>
  <x:si>
    <x:t xml:space="preserve">Xavier Legette</x:t>
  </x:si>
  <x:si>
    <x:t xml:space="preserve">WR98</x:t>
  </x:si>
  <x:si>
    <x:t xml:space="preserve">Darren Waller</x:t>
  </x:si>
  <x:si>
    <x:t xml:space="preserve">TE36</x:t>
  </x:si>
  <x:si>
    <x:t xml:space="preserve">David Njoku</x:t>
  </x:si>
  <x:si>
    <x:t xml:space="preserve">TE37</x:t>
  </x:si>
  <x:si>
    <x:t xml:space="preserve">Darnell Washington</x:t>
  </x:si>
  <x:si>
    <x:t xml:space="preserve">TE38</x:t>
  </x:si>
  <x:si>
    <x:t xml:space="preserve">Bryce Lance</x:t>
  </x:si>
  <x:si>
    <x:t xml:space="preserve">WR99</x:t>
  </x:si>
  <x:si>
    <x:t xml:space="preserve">Isaiah Davis</x:t>
  </x:si>
  <x:si>
    <x:t xml:space="preserve">RB76</x:t>
  </x:si>
  <x:si>
    <x:t xml:space="preserve">Kalif Raymond</x:t>
  </x:si>
  <x:si>
    <x:t xml:space="preserve">WR100</x:t>
  </x:si>
  <x:si>
    <x:t xml:space="preserve">Emari Demercado</x:t>
  </x:si>
  <x:si>
    <x:t xml:space="preserve">RB77</x:t>
  </x:si>
  <x:si>
    <x:t xml:space="preserve">DeMario Douglas</x:t>
  </x:si>
  <x:si>
    <x:t xml:space="preserve">WR101</x:t>
  </x:si>
  <x:si>
    <x:t xml:space="preserve">Jaylen Wright</x:t>
  </x:si>
  <x:si>
    <x:t xml:space="preserve">RB78</x:t>
  </x:si>
  <x:si>
    <x:t xml:space="preserve">Darnell Mooney</x:t>
  </x:si>
  <x:si>
    <x:t xml:space="preserve">WR102</x:t>
  </x:si>
  <x:si>
    <x:t xml:space="preserve">Marvin Mims Jr.</x:t>
  </x:si>
  <x:si>
    <x:t xml:space="preserve">WR103</x:t>
  </x:si>
  <x:si>
    <x:t xml:space="preserve">Joshua Palmer</x:t>
  </x:si>
  <x:si>
    <x:t xml:space="preserve">WR104</x:t>
  </x:si>
  <x:si>
    <x:t xml:space="preserve">Keon Coleman</x:t>
  </x:si>
  <x:si>
    <x:t xml:space="preserve">WR105</x:t>
  </x:si>
  <x:si>
    <x:t xml:space="preserve">DJ Giddens</x:t>
  </x:si>
  <x:si>
    <x:t xml:space="preserve">RB79</x:t>
  </x:si>
  <x:si>
    <x:t xml:space="preserve">Brashard Smith</x:t>
  </x:si>
  <x:si>
    <x:t xml:space="preserve">RB80</x:t>
  </x:si>
  <x:si>
    <x:t xml:space="preserve">KaVontae Turpin</x:t>
  </x:si>
  <x:si>
    <x:t xml:space="preserve">WR106</x:t>
  </x:si>
  <x:si>
    <x:t xml:space="preserve">Cole Kmet</x:t>
  </x:si>
  <x:si>
    <x:t xml:space="preserve">TE39</x:t>
  </x:si>
  <x:si>
    <x:t xml:space="preserve">Dawson Knox</x:t>
  </x:si>
  <x:si>
    <x:t xml:space="preserve">TE40</x:t>
  </x:si>
  <x:si>
    <x:t xml:space="preserve">Elijah Sarratt</x:t>
  </x:si>
  <x:si>
    <x:t xml:space="preserve">WR107</x:t>
  </x:si>
  <x:si>
    <x:t xml:space="preserve">Malik Benson</x:t>
  </x:si>
  <x:si>
    <x:t xml:space="preserve">WR108</x:t>
  </x:si>
  <x:si>
    <x:t xml:space="preserve">Treylon Burks</x:t>
  </x:si>
  <x:si>
    <x:t xml:space="preserve">WR109</x:t>
  </x:si>
  <x:si>
    <x:t xml:space="preserve">Troy Franklin</x:t>
  </x:si>
  <x:si>
    <x:t xml:space="preserve">WR110</x:t>
  </x:si>
  <x:si>
    <x:t xml:space="preserve">Will Shipley</x:t>
  </x:si>
  <x:si>
    <x:t xml:space="preserve">RB81</x:t>
  </x:si>
  <x:si>
    <x:t xml:space="preserve">Chimere Dike</x:t>
  </x:si>
  <x:si>
    <x:t xml:space="preserve">WR111</x:t>
  </x:si>
  <x:si>
    <x:t xml:space="preserve">Noah Gray</x:t>
  </x:si>
  <x:si>
    <x:t xml:space="preserve">TE41</x:t>
  </x:si>
  <x:si>
    <x:t xml:space="preserve">Elijah Arroyo</x:t>
  </x:si>
  <x:si>
    <x:t xml:space="preserve">TE42</x:t>
  </x:si>
  <x:si>
    <x:t xml:space="preserve">Theo Johnson</x:t>
  </x:si>
  <x:si>
    <x:t xml:space="preserve">TE43</x:t>
  </x:si>
  <x:si>
    <x:t xml:space="preserve">Shedeur Sanders</x:t>
  </x:si>
  <x:si>
    <x:t xml:space="preserve">QB33</x:t>
  </x:si>
  <x:si>
    <x:t xml:space="preserve">Olamide Zaccheaus</x:t>
  </x:si>
  <x:si>
    <x:t xml:space="preserve">WR112</x:t>
  </x:si>
  <x:si>
    <x:t xml:space="preserve">Noah Fant</x:t>
  </x:si>
  <x:si>
    <x:t xml:space="preserve">TE44</x:t>
  </x:si>
  <x:si>
    <x:t xml:space="preserve">Eli Raridon</x:t>
  </x:si>
  <x:si>
    <x:t xml:space="preserve">TE45</x:t>
  </x:si>
  <x:si>
    <x:t xml:space="preserve">Carson Beck</x:t>
  </x:si>
  <x:si>
    <x:t xml:space="preserve">QB34</x:t>
  </x:si>
  <x:si>
    <x:t xml:space="preserve">Erick All Jr.</x:t>
  </x:si>
  <x:si>
    <x:t xml:space="preserve">TE46</x:t>
  </x:si>
  <x:si>
    <x:t xml:space="preserve">Kirk Cousins</x:t>
  </x:si>
  <x:si>
    <x:t xml:space="preserve">QB35</x:t>
  </x:si>
  <x:si>
    <x:t xml:space="preserve">Tory Horton</x:t>
  </x:si>
  <x:si>
    <x:t xml:space="preserve">WR113</x:t>
  </x:si>
  <x:si>
    <x:t xml:space="preserve">Elic Ayomanor</x:t>
  </x:si>
  <x:si>
    <x:t xml:space="preserve">WR114</x:t>
  </x:si>
  <x:si>
    <x:t xml:space="preserve">Sione Vaki</x:t>
  </x:si>
  <x:si>
    <x:t xml:space="preserve">RB82</x:t>
  </x:si>
  <x:si>
    <x:t xml:space="preserve">Brenen Thompson</x:t>
  </x:si>
  <x:si>
    <x:t xml:space="preserve">WR115</x:t>
  </x:si>
  <x:si>
    <x:t xml:space="preserve">Tyler Higbee</x:t>
  </x:si>
  <x:si>
    <x:t xml:space="preserve">TE47</x:t>
  </x:si>
  <x:si>
    <x:t xml:space="preserve">Devin Singletary</x:t>
  </x:si>
  <x:si>
    <x:t xml:space="preserve">RB83</x:t>
  </x:si>
  <x:si>
    <x:t xml:space="preserve">LeQuint Allen Jr.</x:t>
  </x:si>
  <x:si>
    <x:t xml:space="preserve">RB84</x:t>
  </x:si>
  <x:si>
    <x:t xml:space="preserve">Mason Taylor</x:t>
  </x:si>
  <x:si>
    <x:t xml:space="preserve">TE48</x:t>
  </x:si>
  <x:si>
    <x:t xml:space="preserve">Skyler Bell</x:t>
  </x:si>
  <x:si>
    <x:t xml:space="preserve">WR116</x:t>
  </x:si>
  <x:si>
    <x:t xml:space="preserve">Colbie Young</x:t>
  </x:si>
  <x:si>
    <x:t xml:space="preserve">WR117</x:t>
  </x:si>
  <x:si>
    <x:t xml:space="preserve">Jahdae Walker</x:t>
  </x:si>
  <x:si>
    <x:t xml:space="preserve">WR118</x:t>
  </x:si>
  <x:si>
    <x:t xml:space="preserve">Zavion Thomas</x:t>
  </x:si>
  <x:si>
    <x:t xml:space="preserve">WR119</x:t>
  </x:si>
  <x:si>
    <x:t xml:space="preserve">Isiah Pacheco</x:t>
  </x:si>
  <x:si>
    <x:t xml:space="preserve">RB85</x:t>
  </x:si>
  <x:si>
    <x:t xml:space="preserve">Jaydon Blue</x:t>
  </x:si>
  <x:si>
    <x:t xml:space="preserve">RB86</x:t>
  </x:si>
  <x:si>
    <x:t xml:space="preserve">Kyle Williams</x:t>
  </x:si>
  <x:si>
    <x:t xml:space="preserve">WR120</x:t>
  </x:si>
  <x:si>
    <x:t xml:space="preserve">Kaleb Johnson</x:t>
  </x:si>
  <x:si>
    <x:t xml:space="preserve">RB87</x:t>
  </x:si>
  <x:si>
    <x:t xml:space="preserve">Demarcus Robinson</x:t>
  </x:si>
  <x:si>
    <x:t xml:space="preserve">WR121</x:t>
  </x:si>
  <x:si>
    <x:t xml:space="preserve">Roman Wilson</x:t>
  </x:si>
  <x:si>
    <x:t xml:space="preserve">WR122</x:t>
  </x:si>
  <x:si>
    <x:t xml:space="preserve">Tai Felton</x:t>
  </x:si>
  <x:si>
    <x:t xml:space="preserve">WR123</x:t>
  </x:si>
  <x:si>
    <x:t xml:space="preserve">Kareem Hunt</x:t>
  </x:si>
  <x:si>
    <x:t xml:space="preserve">RB88</x:t>
  </x:si>
  <x:si>
    <x:t xml:space="preserve">Isaiah Bond</x:t>
  </x:si>
  <x:si>
    <x:t xml:space="preserve">WR124</x:t>
  </x:si>
  <x:si>
    <x:t xml:space="preserve">Tez Johnson</x:t>
  </x:si>
  <x:si>
    <x:t xml:space="preserve">WR125</x:t>
  </x:si>
  <x:si>
    <x:t xml:space="preserve">Kendre Miller</x:t>
  </x:si>
  <x:si>
    <x:t xml:space="preserve">RB89</x:t>
  </x:si>
  <x:si>
    <x:t xml:space="preserve">Jake Tonges</x:t>
  </x:si>
  <x:si>
    <x:t xml:space="preserve">TE49</x:t>
  </x:si>
  <x:si>
    <x:t xml:space="preserve">Jacob Saylors</x:t>
  </x:si>
  <x:si>
    <x:t xml:space="preserve">RB90</x:t>
  </x:si>
  <x:si>
    <x:t xml:space="preserve">Sean Tucker</x:t>
  </x:si>
  <x:si>
    <x:t xml:space="preserve">RB91</x:t>
  </x:si>
</x:sst>
</file>

<file path=xl/styles.xml><?xml version="1.0" encoding="utf-8"?>
<x:styleSheet xmlns:x="http://schemas.openxmlformats.org/spreadsheetml/2006/main">
  <x:numFmts count="5">
    <x:numFmt numFmtId="164" formatCode="\$0"/>
    <x:numFmt numFmtId="200" formatCode="$0"/>
    <x:numFmt numFmtId="201" formatCode="$0.00"/>
    <x:numFmt numFmtId="202" formatCode="0"/>
    <x:numFmt numFmtId="203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">
    <x:border/>
    <x:border/>
    <x:border>
      <x:bottom style="medium">
        <x:color indexed="64"/>
      </x:bottom>
    </x:border>
    <x:border>
      <x:top style="medium">
        <x:color indexed="64"/>
      </x:top>
      <x:bottom style="thin">
        <x:color indexed="64"/>
      </x:bottom>
    </x:border>
    <x:border/>
    <x:border>
      <x:bottom style="medium">
        <x:color indexed="64"/>
      </x:bottom>
    </x:border>
    <x:border>
      <x:top style="medium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2" borderId="0" xfId="0" applyFont="1" applyFill="1" applyAlignment="1">
      <x:alignment horizontal="center" vertical="center"/>
    </x:xf>
    <x:xf numFmtId="164" fontId="0" fillId="0" borderId="0" xfId="0" applyNumberFormat="1"/>
    <x:xf numFmtId="0" fontId="0" fillId="0" borderId="1" xfId="0" applyBorder="1"/>
    <x:xf numFmtId="0" fontId="0" fillId="0" borderId="2" xfId="0" applyBorder="1"/>
    <x:xf numFmtId="0" fontId="2" fillId="0" borderId="3" xfId="0" applyFont="1" applyBorder="1" applyAlignment="1">
      <x:alignment horizontal="center"/>
    </x:xf>
    <x:xf numFmtId="0" fontId="2" fillId="0" borderId="3" xfId="0" applyFont="1" applyBorder="1" applyAlignment="1">
      <x:alignment horizontal="centerContinuous"/>
    </x:xf>
    <x:xf numFmtId="0" fontId="1" fillId="2" borderId="0" xfId="0" applyFont="1" applyFill="1" applyAlignment="1">
      <x:alignment horizontal="center" vertical="center"/>
    </x:xf>
    <x:xf numFmtId="0" fontId="0" fillId="0" borderId="4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/>
    </x:xf>
    <x:xf numFmtId="164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2" fillId="0" borderId="6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Continuous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4" xfId="0" applyNumberFormat="1" applyFont="1" applyFill="1" applyBorder="1"/>
    <x:xf numFmtId="0" fontId="3" fillId="4" borderId="4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164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2" fillId="0" borderId="3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 applyAlignment="1">
      <x:alignment horizontal="centerContinuous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1c2d889694123" /><Relationship Type="http://schemas.openxmlformats.org/officeDocument/2006/relationships/theme" Target="/xl/theme/theme1.xml" Id="R37af9454227645c8" /><Relationship Type="http://schemas.openxmlformats.org/officeDocument/2006/relationships/sharedStrings" Target="/xl/sharedStrings.xml" Id="R6b44350610524498" /><Relationship Type="http://schemas.openxmlformats.org/officeDocument/2006/relationships/worksheet" Target="/xl/worksheets/sheet1.xml" Id="R3cd0879d2c6c44a3" /><Relationship Type="http://schemas.openxmlformats.org/officeDocument/2006/relationships/worksheet" Target="/xl/worksheets/sheet2.xml" Id="Rf56e5a3e84734588" /></Relationships>
</file>

<file path=xl/tables/table1.xml><?xml version="1.0" encoding="utf-8"?>
<x:table xmlns:x="http://schemas.openxmlformats.org/spreadsheetml/2006/main" id="1" name="AuctionValueTable" displayName="AuctionValueTable" ref="A1:J301" totalsRowShown="0">
  <x:tableColumns count="10">
    <x:tableColumn id="1" name="Overall Rank"/>
    <x:tableColumn id="2" name="Player"/>
    <x:tableColumn id="3" name="POS Rank"/>
    <x:tableColumn id="4" name="Position"/>
    <x:tableColumn id="5" name="Auction $"/>
    <x:tableColumn id="6" name="Auction Rank"/>
    <x:tableColumn id="7" name="Regression Price"/>
    <x:tableColumn id="8" name="Rank Value"/>
    <x:tableColumn id="9" name="Value Label"/>
    <x:tableColumn id="10" name="Price Ti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stValuesTargetsUpdated" displayName="BestValuesTargetsUpdated" ref="A1:L102" headerRowCount="1" totalsRowCount="0" totalsRowShown="0">
  <x:tableColumns count="12">
    <x:tableColumn id="1" name="Value Rank"/>
    <x:tableColumn id="2" name="Player"/>
    <x:tableColumn id="3" name="POS Rank"/>
    <x:tableColumn id="4" name="Pos"/>
    <x:tableColumn id="5" name="DK Draft Rank"/>
    <x:tableColumn id="6" name="Auction $"/>
    <x:tableColumn id="7" name="Auction Rank"/>
    <x:tableColumn id="8" name="Expected $ at Pick"/>
    <x:tableColumn id="9" name="Auction $ Edge"/>
    <x:tableColumn id="10" name="Auction Rank Edge"/>
    <x:tableColumn id="11" name="Value Score"/>
    <x:tableColumn id="12" name="Verdi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5248f159eb44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255c0ab91a42cb" /></Relationships>
</file>

<file path=xl/worksheets/sheet1.xml><?xml version="1.0" encoding="utf-8"?>
<x:worksheet xmlns:x="http://schemas.openxmlformats.org/spreadsheetml/2006/main">
  <x:sheetFormatPr defaultRowHeight="14.25"/>
  <x:cols>
    <x:col min="1" max="1" width="14.25" customWidth="1"/>
    <x:col min="2" max="2" width="24" customWidth="1"/>
    <x:col min="3" max="4" width="11" customWidth="1"/>
    <x:col min="5" max="5" width="12" customWidth="1"/>
    <x:col min="6" max="6" width="14.125" customWidth="1"/>
    <x:col min="7" max="7" width="18.625" customWidth="1"/>
    <x:col min="8" max="8" width="12" customWidth="1"/>
    <x:col min="9" max="9" width="18" customWidth="1"/>
    <x:col min="10" max="10" width="12" customWidth="1"/>
    <x:col min="12" max="14" width="20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tr">
        <x:v>Expected $ at DK Rank</x:v>
      </x:c>
      <x:c r="H1" s="1" t="str">
        <x:v>Auction $ Edge</x:v>
      </x:c>
      <x:c r="I1" s="1" t="str">
        <x:v>Value Label</x:v>
      </x:c>
      <x:c r="J1" s="1" t="str">
        <x:v>Auction Rank Edge</x:v>
      </x:c>
      <x:c r="L1" s="7" t="s">
        <x:v>6</x:v>
      </x:c>
      <x:c r="M1" s="7"/>
      <x:c r="N1" s="7"/>
    </x:row>
    <x:row r="2">
      <x:c r="A2">
        <x:v>1</x:v>
      </x:c>
      <x:c r="B2" t="s">
        <x:v>7</x:v>
      </x:c>
      <x:c r="C2" t="s">
        <x:v>8</x:v>
      </x:c>
      <x:c r="D2" t="s">
        <x:v>9</x:v>
      </x:c>
      <x:c r="E2" s="20">
        <x:v>64</x:v>
      </x:c>
      <x:c r="F2">
        <x:v>1</x:v>
      </x:c>
      <x:c r="G2" s="27" t="n">
        <x:f t="shared" ref="G2:G65" si="0">MAX(0,42.71-(0.42*A2))</x:f>
        <x:v>42.29</x:v>
      </x:c>
      <x:c r="H2" s="27" t="n">
        <x:f t="shared" ref="H2:H65" si="1">IF(E2="","",E2-G2)</x:f>
        <x:v>21.71</x:v>
      </x:c>
      <x:c r="I2" t="str">
        <x:f t="shared" ref="I2:I65" si="2">IF(E2="","No Auction Value",IF(OR(H2&gt;=8,J2&gt;=15),"🔥 STEAL",IF(OR(H2&gt;=4,J2&gt;=7),"✅ VALUE",IF(OR(H2&gt;=1.5,J2&gt;=3),"👍 SLIGHT VALUE",IF(AND(H2&gt;-1.5,H2&lt;1.5,J2&gt;-3,J2&lt;3),"FAIR",IF(OR(H2&lt;=-5,J2&lt;=-10),"❌ AVOID","⚠️ REACH"))))))</x:f>
        <x:v>🔥 STEAL</x:v>
      </x:c>
      <x:c r="J2" s="28" t="n">
        <x:f t="shared" ref="J2:J65" si="3">IF(F2="","",A2-F2)</x:f>
        <x:v>0</x:v>
      </x:c>
      <x:c r="L2" t="s">
        <x:v>10</x:v>
      </x:c>
      <x:c r="M2" t="s">
        <x:v>11</x:v>
      </x:c>
    </x:row>
    <x:row r="3">
      <x:c r="A3">
        <x:v>2</x:v>
      </x:c>
      <x:c r="B3" t="s">
        <x:v>12</x:v>
      </x:c>
      <x:c r="C3" t="s">
        <x:v>13</x:v>
      </x:c>
      <x:c r="D3" t="s">
        <x:v>14</x:v>
      </x:c>
      <x:c r="E3" s="20">
        <x:v>59</x:v>
      </x:c>
      <x:c r="F3">
        <x:v>3</x:v>
      </x:c>
      <x:c r="G3" s="27" t="n">
        <x:f t="shared" si="0">MAX(0,42.71-(0.42*A3))</x:f>
        <x:v>41.87</x:v>
      </x:c>
      <x:c r="H3" s="27" t="n">
        <x:f t="shared" si="1">IF(E3="","",E3-G3)</x:f>
        <x:v>17.130000000000003</x:v>
      </x:c>
      <x:c r="I3" t="str">
        <x:f t="shared" si="2">IF(E3="","No Auction Value",IF(OR(H3&gt;=8,J3&gt;=15),"🔥 STEAL",IF(OR(H3&gt;=4,J3&gt;=7),"✅ VALUE",IF(OR(H3&gt;=1.5,J3&gt;=3),"👍 SLIGHT VALUE",IF(AND(H3&gt;-1.5,H3&lt;1.5,J3&gt;-3,J3&lt;3),"FAIR",IF(OR(H3&lt;=-5,J3&lt;=-10),"❌ AVOID","⚠️ REACH"))))))</x:f>
        <x:v>🔥 STEAL</x:v>
      </x:c>
      <x:c r="J3" s="28" t="n">
        <x:f t="shared" si="3">IF(F3="","",A3-F3)</x:f>
        <x:v>-1</x:v>
      </x:c>
      <x:c r="L3" t="s">
        <x:v>15</x:v>
      </x:c>
      <x:c r="M3" t="s">
        <x:v>16</x:v>
      </x:c>
    </x:row>
    <x:row r="4">
      <x:c r="A4">
        <x:v>3</x:v>
      </x:c>
      <x:c r="B4" t="s">
        <x:v>17</x:v>
      </x:c>
      <x:c r="C4" t="s">
        <x:v>18</x:v>
      </x:c>
      <x:c r="D4" t="s">
        <x:v>14</x:v>
      </x:c>
      <x:c r="E4" s="20">
        <x:v>60</x:v>
      </x:c>
      <x:c r="F4">
        <x:v>2</x:v>
      </x:c>
      <x:c r="G4" s="27" t="n">
        <x:f t="shared" si="0">MAX(0,42.71-(0.42*A4))</x:f>
        <x:v>41.45</x:v>
      </x:c>
      <x:c r="H4" s="27" t="n">
        <x:f t="shared" si="1">IF(E4="","",E4-G4)</x:f>
        <x:v>18.549999999999997</x:v>
      </x:c>
      <x:c r="I4" t="str">
        <x:f t="shared" si="2">IF(E4="","No Auction Value",IF(OR(H4&gt;=8,J4&gt;=15),"🔥 STEAL",IF(OR(H4&gt;=4,J4&gt;=7),"✅ VALUE",IF(OR(H4&gt;=1.5,J4&gt;=3),"👍 SLIGHT VALUE",IF(AND(H4&gt;-1.5,H4&lt;1.5,J4&gt;-3,J4&lt;3),"FAIR",IF(OR(H4&lt;=-5,J4&lt;=-10),"❌ AVOID","⚠️ REACH"))))))</x:f>
        <x:v>🔥 STEAL</x:v>
      </x:c>
      <x:c r="J4" s="28" t="n">
        <x:f t="shared" si="3">IF(F4="","",A4-F4)</x:f>
        <x:v>1</x:v>
      </x:c>
      <x:c r="L4" t="s">
        <x:v>19</x:v>
      </x:c>
      <x:c r="M4" t="s">
        <x:v>20</x:v>
      </x:c>
    </x:row>
    <x:row r="5">
      <x:c r="A5">
        <x:v>4</x:v>
      </x:c>
      <x:c r="B5" t="s">
        <x:v>21</x:v>
      </x:c>
      <x:c r="C5" t="s">
        <x:v>22</x:v>
      </x:c>
      <x:c r="D5" t="s">
        <x:v>9</x:v>
      </x:c>
      <x:c r="E5" s="20">
        <x:v>58</x:v>
      </x:c>
      <x:c r="F5">
        <x:v>4</x:v>
      </x:c>
      <x:c r="G5" s="27" t="n">
        <x:f t="shared" si="0">MAX(0,42.71-(0.42*A5))</x:f>
        <x:v>41.03</x:v>
      </x:c>
      <x:c r="H5" s="27" t="n">
        <x:f t="shared" si="1">IF(E5="","",E5-G5)</x:f>
        <x:v>16.97</x:v>
      </x:c>
      <x:c r="I5" t="str">
        <x:f t="shared" si="2">IF(E5="","No Auction Value",IF(OR(H5&gt;=8,J5&gt;=15),"🔥 STEAL",IF(OR(H5&gt;=4,J5&gt;=7),"✅ VALUE",IF(OR(H5&gt;=1.5,J5&gt;=3),"👍 SLIGHT VALUE",IF(AND(H5&gt;-1.5,H5&lt;1.5,J5&gt;-3,J5&lt;3),"FAIR",IF(OR(H5&lt;=-5,J5&lt;=-10),"❌ AVOID","⚠️ REACH"))))))</x:f>
        <x:v>🔥 STEAL</x:v>
      </x:c>
      <x:c r="J5" s="28" t="n">
        <x:f t="shared" si="3">IF(F5="","",A5-F5)</x:f>
        <x:v>0</x:v>
      </x:c>
      <x:c r="L5" t="s">
        <x:v>23</x:v>
      </x:c>
      <x:c r="M5" t="s">
        <x:v>24</x:v>
      </x:c>
    </x:row>
    <x:row r="6">
      <x:c r="A6">
        <x:v>5</x:v>
      </x:c>
      <x:c r="B6" t="s">
        <x:v>25</x:v>
      </x:c>
      <x:c r="C6" t="s">
        <x:v>26</x:v>
      </x:c>
      <x:c r="D6" t="s">
        <x:v>14</x:v>
      </x:c>
      <x:c r="E6" s="20">
        <x:v>56</x:v>
      </x:c>
      <x:c r="F6">
        <x:v>5</x:v>
      </x:c>
      <x:c r="G6" s="27" t="n">
        <x:f t="shared" si="0">MAX(0,42.71-(0.42*A6))</x:f>
        <x:v>40.61</x:v>
      </x:c>
      <x:c r="H6" s="27" t="n">
        <x:f t="shared" si="1">IF(E6="","",E6-G6)</x:f>
        <x:v>15.39</x:v>
      </x:c>
      <x:c r="I6" t="str">
        <x:f t="shared" si="2">IF(E6="","No Auction Value",IF(OR(H6&gt;=8,J6&gt;=15),"🔥 STEAL",IF(OR(H6&gt;=4,J6&gt;=7),"✅ VALUE",IF(OR(H6&gt;=1.5,J6&gt;=3),"👍 SLIGHT VALUE",IF(AND(H6&gt;-1.5,H6&lt;1.5,J6&gt;-3,J6&lt;3),"FAIR",IF(OR(H6&lt;=-5,J6&lt;=-10),"❌ AVOID","⚠️ REACH"))))))</x:f>
        <x:v>🔥 STEAL</x:v>
      </x:c>
      <x:c r="J6" s="28" t="n">
        <x:f t="shared" si="3">IF(F6="","",A6-F6)</x:f>
        <x:v>0</x:v>
      </x:c>
      <x:c r="L6" t="s">
        <x:v>27</x:v>
      </x:c>
      <x:c r="M6" t="s">
        <x:v>28</x:v>
      </x:c>
    </x:row>
    <x:row r="7">
      <x:c r="A7">
        <x:v>6</x:v>
      </x:c>
      <x:c r="B7" t="s">
        <x:v>29</x:v>
      </x:c>
      <x:c r="C7" t="s">
        <x:v>30</x:v>
      </x:c>
      <x:c r="D7" t="s">
        <x:v>9</x:v>
      </x:c>
      <x:c r="E7" s="20">
        <x:v>52</x:v>
      </x:c>
      <x:c r="F7">
        <x:v>7</x:v>
      </x:c>
      <x:c r="G7" s="27" t="n">
        <x:f t="shared" si="0">MAX(0,42.71-(0.42*A7))</x:f>
        <x:v>40.19</x:v>
      </x:c>
      <x:c r="H7" s="27" t="n">
        <x:f t="shared" si="1">IF(E7="","",E7-G7)</x:f>
        <x:v>11.810000000000002</x:v>
      </x:c>
      <x:c r="I7" t="str">
        <x:f t="shared" si="2">IF(E7="","No Auction Value",IF(OR(H7&gt;=8,J7&gt;=15),"🔥 STEAL",IF(OR(H7&gt;=4,J7&gt;=7),"✅ VALUE",IF(OR(H7&gt;=1.5,J7&gt;=3),"👍 SLIGHT VALUE",IF(AND(H7&gt;-1.5,H7&lt;1.5,J7&gt;-3,J7&lt;3),"FAIR",IF(OR(H7&lt;=-5,J7&lt;=-10),"❌ AVOID","⚠️ REACH"))))))</x:f>
        <x:v>🔥 STEAL</x:v>
      </x:c>
      <x:c r="J7" s="28" t="n">
        <x:f t="shared" si="3">IF(F7="","",A7-F7)</x:f>
        <x:v>-1</x:v>
      </x:c>
      <x:c r="L7" t="s">
        <x:v>31</x:v>
      </x:c>
      <x:c r="M7" t="s">
        <x:v>32</x:v>
      </x:c>
    </x:row>
    <x:row r="8">
      <x:c r="A8">
        <x:v>7</x:v>
      </x:c>
      <x:c r="B8" t="s">
        <x:v>33</x:v>
      </x:c>
      <x:c r="C8" t="s">
        <x:v>34</x:v>
      </x:c>
      <x:c r="D8" t="s">
        <x:v>14</x:v>
      </x:c>
      <x:c r="E8" s="20">
        <x:v>54</x:v>
      </x:c>
      <x:c r="F8">
        <x:v>6</x:v>
      </x:c>
      <x:c r="G8" s="27" t="n">
        <x:f t="shared" si="0">MAX(0,42.71-(0.42*A8))</x:f>
        <x:v>39.77</x:v>
      </x:c>
      <x:c r="H8" s="27" t="n">
        <x:f t="shared" si="1">IF(E8="","",E8-G8)</x:f>
        <x:v>14.229999999999997</x:v>
      </x:c>
      <x:c r="I8" t="str">
        <x:f t="shared" si="2">IF(E8="","No Auction Value",IF(OR(H8&gt;=8,J8&gt;=15),"🔥 STEAL",IF(OR(H8&gt;=4,J8&gt;=7),"✅ VALUE",IF(OR(H8&gt;=1.5,J8&gt;=3),"👍 SLIGHT VALUE",IF(AND(H8&gt;-1.5,H8&lt;1.5,J8&gt;-3,J8&lt;3),"FAIR",IF(OR(H8&lt;=-5,J8&lt;=-10),"❌ AVOID","⚠️ REACH"))))))</x:f>
        <x:v>🔥 STEAL</x:v>
      </x:c>
      <x:c r="J8" s="28" t="n">
        <x:f t="shared" si="3">IF(F8="","",A8-F8)</x:f>
        <x:v>1</x:v>
      </x:c>
    </x:row>
    <x:row r="9">
      <x:c r="A9">
        <x:v>8</x:v>
      </x:c>
      <x:c r="B9" t="s">
        <x:v>35</x:v>
      </x:c>
      <x:c r="C9" t="s">
        <x:v>36</x:v>
      </x:c>
      <x:c r="D9" t="s">
        <x:v>14</x:v>
      </x:c>
      <x:c r="E9" s="20">
        <x:v>38</x:v>
      </x:c>
      <x:c r="F9">
        <x:v>11</x:v>
      </x:c>
      <x:c r="G9" s="27" t="n">
        <x:f t="shared" si="0">MAX(0,42.71-(0.42*A9))</x:f>
        <x:v>39.35</x:v>
      </x:c>
      <x:c r="H9" s="27" t="n">
        <x:f t="shared" si="1">IF(E9="","",E9-G9)</x:f>
        <x:v>-1.3500000000000014</x:v>
      </x:c>
      <x:c r="I9" t="str">
        <x:f t="shared" si="2">IF(E9="","No Auction Value",IF(OR(H9&gt;=8,J9&gt;=15),"🔥 STEAL",IF(OR(H9&gt;=4,J9&gt;=7),"✅ VALUE",IF(OR(H9&gt;=1.5,J9&gt;=3),"👍 SLIGHT VALUE",IF(AND(H9&gt;-1.5,H9&lt;1.5,J9&gt;-3,J9&lt;3),"FAIR",IF(OR(H9&lt;=-5,J9&lt;=-10),"❌ AVOID","⚠️ REACH"))))))</x:f>
        <x:v>⚠️ REACH</x:v>
      </x:c>
      <x:c r="J9" s="28" t="n">
        <x:f t="shared" si="3">IF(F9="","",A9-F9)</x:f>
        <x:v>-3</x:v>
      </x:c>
    </x:row>
    <x:row r="10">
      <x:c r="A10">
        <x:v>9</x:v>
      </x:c>
      <x:c r="B10" t="s">
        <x:v>37</x:v>
      </x:c>
      <x:c r="C10" t="s">
        <x:v>38</x:v>
      </x:c>
      <x:c r="D10" t="s">
        <x:v>14</x:v>
      </x:c>
      <x:c r="E10" s="20">
        <x:v>38</x:v>
      </x:c>
      <x:c r="F10">
        <x:v>11</x:v>
      </x:c>
      <x:c r="G10" s="27" t="n">
        <x:f t="shared" si="0">MAX(0,42.71-(0.42*A10))</x:f>
        <x:v>38.93</x:v>
      </x:c>
      <x:c r="H10" s="27" t="n">
        <x:f t="shared" si="1">IF(E10="","",E10-G10)</x:f>
        <x:v>-0.9299999999999997</x:v>
      </x:c>
      <x:c r="I10" t="str">
        <x:f t="shared" si="2">IF(E10="","No Auction Value",IF(OR(H10&gt;=8,J10&gt;=15),"🔥 STEAL",IF(OR(H10&gt;=4,J10&gt;=7),"✅ VALUE",IF(OR(H10&gt;=1.5,J10&gt;=3),"👍 SLIGHT VALUE",IF(AND(H10&gt;-1.5,H10&lt;1.5,J10&gt;-3,J10&lt;3),"FAIR",IF(OR(H10&lt;=-5,J10&lt;=-10),"❌ AVOID","⚠️ REACH"))))))</x:f>
        <x:v>FAIR</x:v>
      </x:c>
      <x:c r="J10" s="28" t="n">
        <x:f t="shared" si="3">IF(F10="","",A10-F10)</x:f>
        <x:v>-2</x:v>
      </x:c>
    </x:row>
    <x:row r="11">
      <x:c r="A11">
        <x:v>10</x:v>
      </x:c>
      <x:c r="B11" t="s">
        <x:v>39</x:v>
      </x:c>
      <x:c r="C11" t="s">
        <x:v>40</x:v>
      </x:c>
      <x:c r="D11" t="s">
        <x:v>9</x:v>
      </x:c>
      <x:c r="E11" s="20">
        <x:v>35</x:v>
      </x:c>
      <x:c r="F11">
        <x:v>16</x:v>
      </x:c>
      <x:c r="G11" s="27" t="n">
        <x:f t="shared" si="0">MAX(0,42.71-(0.42*A11))</x:f>
        <x:v>38.51</x:v>
      </x:c>
      <x:c r="H11" s="27" t="n">
        <x:f t="shared" si="1">IF(E11="","",E11-G11)</x:f>
        <x:v>-3.509999999999998</x:v>
      </x:c>
      <x:c r="I11" t="str">
        <x:f t="shared" si="2">IF(E11="","No Auction Value",IF(OR(H11&gt;=8,J11&gt;=15),"🔥 STEAL",IF(OR(H11&gt;=4,J11&gt;=7),"✅ VALUE",IF(OR(H11&gt;=1.5,J11&gt;=3),"👍 SLIGHT VALUE",IF(AND(H11&gt;-1.5,H11&lt;1.5,J11&gt;-3,J11&lt;3),"FAIR",IF(OR(H11&lt;=-5,J11&lt;=-10),"❌ AVOID","⚠️ REACH"))))))</x:f>
        <x:v>⚠️ REACH</x:v>
      </x:c>
      <x:c r="J11" s="28" t="n">
        <x:f t="shared" si="3">IF(F11="","",A11-F11)</x:f>
        <x:v>-6</x:v>
      </x:c>
    </x:row>
    <x:row r="12">
      <x:c r="A12">
        <x:v>11</x:v>
      </x:c>
      <x:c r="B12" t="s">
        <x:v>41</x:v>
      </x:c>
      <x:c r="C12" t="s">
        <x:v>42</x:v>
      </x:c>
      <x:c r="D12" t="s">
        <x:v>9</x:v>
      </x:c>
      <x:c r="E12" s="20">
        <x:v>46</x:v>
      </x:c>
      <x:c r="F12">
        <x:v>8</x:v>
      </x:c>
      <x:c r="G12" s="27" t="n">
        <x:f t="shared" si="0">MAX(0,42.71-(0.42*A12))</x:f>
        <x:v>38.09</x:v>
      </x:c>
      <x:c r="H12" s="27" t="n">
        <x:f t="shared" si="1">IF(E12="","",E12-G12)</x:f>
        <x:v>7.909999999999997</x:v>
      </x:c>
      <x:c r="I12" t="str">
        <x:f t="shared" si="2">IF(E12="","No Auction Value",IF(OR(H12&gt;=8,J12&gt;=15),"🔥 STEAL",IF(OR(H12&gt;=4,J12&gt;=7),"✅ VALUE",IF(OR(H12&gt;=1.5,J12&gt;=3),"👍 SLIGHT VALUE",IF(AND(H12&gt;-1.5,H12&lt;1.5,J12&gt;-3,J12&lt;3),"FAIR",IF(OR(H12&lt;=-5,J12&lt;=-10),"❌ AVOID","⚠️ REACH"))))))</x:f>
        <x:v>✅ VALUE</x:v>
      </x:c>
      <x:c r="J12" s="28" t="n">
        <x:f t="shared" si="3">IF(F12="","",A12-F12)</x:f>
        <x:v>3</x:v>
      </x:c>
    </x:row>
    <x:row r="13">
      <x:c r="A13">
        <x:v>12</x:v>
      </x:c>
      <x:c r="B13" t="s">
        <x:v>43</x:v>
      </x:c>
      <x:c r="C13" t="s">
        <x:v>44</x:v>
      </x:c>
      <x:c r="D13" t="s">
        <x:v>9</x:v>
      </x:c>
      <x:c r="E13" s="20">
        <x:v>33</x:v>
      </x:c>
      <x:c r="F13">
        <x:v>19</x:v>
      </x:c>
      <x:c r="G13" s="27" t="n">
        <x:f t="shared" si="0">MAX(0,42.71-(0.42*A13))</x:f>
        <x:v>37.67</x:v>
      </x:c>
      <x:c r="H13" s="27" t="n">
        <x:f t="shared" si="1">IF(E13="","",E13-G13)</x:f>
        <x:v>-4.670000000000002</x:v>
      </x:c>
      <x:c r="I13" t="str">
        <x:f t="shared" si="2">IF(E13="","No Auction Value",IF(OR(H13&gt;=8,J13&gt;=15),"🔥 STEAL",IF(OR(H13&gt;=4,J13&gt;=7),"✅ VALUE",IF(OR(H13&gt;=1.5,J13&gt;=3),"👍 SLIGHT VALUE",IF(AND(H13&gt;-1.5,H13&lt;1.5,J13&gt;-3,J13&lt;3),"FAIR",IF(OR(H13&lt;=-5,J13&lt;=-10),"❌ AVOID","⚠️ REACH"))))))</x:f>
        <x:v>⚠️ REACH</x:v>
      </x:c>
      <x:c r="J13" s="28" t="n">
        <x:f t="shared" si="3">IF(F13="","",A13-F13)</x:f>
        <x:v>-7</x:v>
      </x:c>
    </x:row>
    <x:row r="14">
      <x:c r="A14">
        <x:v>13</x:v>
      </x:c>
      <x:c r="B14" t="s">
        <x:v>45</x:v>
      </x:c>
      <x:c r="C14" t="s">
        <x:v>46</x:v>
      </x:c>
      <x:c r="D14" t="s">
        <x:v>9</x:v>
      </x:c>
      <x:c r="E14" s="20">
        <x:v>32</x:v>
      </x:c>
      <x:c r="F14">
        <x:v>21</x:v>
      </x:c>
      <x:c r="G14" s="27" t="n">
        <x:f t="shared" si="0">MAX(0,42.71-(0.42*A14))</x:f>
        <x:v>37.25</x:v>
      </x:c>
      <x:c r="H14" s="27" t="n">
        <x:f t="shared" si="1">IF(E14="","",E14-G14)</x:f>
        <x:v>-5.25</x:v>
      </x:c>
      <x:c r="I14" t="str">
        <x:f t="shared" si="2">IF(E14="","No Auction Value",IF(OR(H14&gt;=8,J14&gt;=15),"🔥 STEAL",IF(OR(H14&gt;=4,J14&gt;=7),"✅ VALUE",IF(OR(H14&gt;=1.5,J14&gt;=3),"👍 SLIGHT VALUE",IF(AND(H14&gt;-1.5,H14&lt;1.5,J14&gt;-3,J14&lt;3),"FAIR",IF(OR(H14&lt;=-5,J14&lt;=-10),"❌ AVOID","⚠️ REACH"))))))</x:f>
        <x:v>❌ AVOID</x:v>
      </x:c>
      <x:c r="J14" s="28" t="n">
        <x:f t="shared" si="3">IF(F14="","",A14-F14)</x:f>
        <x:v>-8</x:v>
      </x:c>
    </x:row>
    <x:row r="15">
      <x:c r="A15">
        <x:v>14</x:v>
      </x:c>
      <x:c r="B15" t="s">
        <x:v>47</x:v>
      </x:c>
      <x:c r="C15" t="s">
        <x:v>48</x:v>
      </x:c>
      <x:c r="D15" t="s">
        <x:v>14</x:v>
      </x:c>
      <x:c r="E15" s="20">
        <x:v>26</x:v>
      </x:c>
      <x:c r="F15">
        <x:v>33</x:v>
      </x:c>
      <x:c r="G15" s="27" t="n">
        <x:f t="shared" si="0">MAX(0,42.71-(0.42*A15))</x:f>
        <x:v>36.83</x:v>
      </x:c>
      <x:c r="H15" s="27" t="n">
        <x:f t="shared" si="1">IF(E15="","",E15-G15)</x:f>
        <x:v>-10.829999999999998</x:v>
      </x:c>
      <x:c r="I15" t="str">
        <x:f t="shared" si="2">IF(E15="","No Auction Value",IF(OR(H15&gt;=8,J15&gt;=15),"🔥 STEAL",IF(OR(H15&gt;=4,J15&gt;=7),"✅ VALUE",IF(OR(H15&gt;=1.5,J15&gt;=3),"👍 SLIGHT VALUE",IF(AND(H15&gt;-1.5,H15&lt;1.5,J15&gt;-3,J15&lt;3),"FAIR",IF(OR(H15&lt;=-5,J15&lt;=-10),"❌ AVOID","⚠️ REACH"))))))</x:f>
        <x:v>❌ AVOID</x:v>
      </x:c>
      <x:c r="J15" s="28" t="n">
        <x:f t="shared" si="3">IF(F15="","",A15-F15)</x:f>
        <x:v>-19</x:v>
      </x:c>
    </x:row>
    <x:row r="16">
      <x:c r="A16">
        <x:v>15</x:v>
      </x:c>
      <x:c r="B16" t="s">
        <x:v>49</x:v>
      </x:c>
      <x:c r="C16" t="s">
        <x:v>50</x:v>
      </x:c>
      <x:c r="D16" t="s">
        <x:v>9</x:v>
      </x:c>
      <x:c r="E16" s="20">
        <x:v>31</x:v>
      </x:c>
      <x:c r="F16">
        <x:v>22</x:v>
      </x:c>
      <x:c r="G16" s="27" t="n">
        <x:f t="shared" si="0">MAX(0,42.71-(0.42*A16))</x:f>
        <x:v>36.410000000000004</x:v>
      </x:c>
      <x:c r="H16" s="27" t="n">
        <x:f t="shared" si="1">IF(E16="","",E16-G16)</x:f>
        <x:v>-5.410000000000004</x:v>
      </x:c>
      <x:c r="I16" t="str">
        <x:f t="shared" si="2">IF(E16="","No Auction Value",IF(OR(H16&gt;=8,J16&gt;=15),"🔥 STEAL",IF(OR(H16&gt;=4,J16&gt;=7),"✅ VALUE",IF(OR(H16&gt;=1.5,J16&gt;=3),"👍 SLIGHT VALUE",IF(AND(H16&gt;-1.5,H16&lt;1.5,J16&gt;-3,J16&lt;3),"FAIR",IF(OR(H16&lt;=-5,J16&lt;=-10),"❌ AVOID","⚠️ REACH"))))))</x:f>
        <x:v>❌ AVOID</x:v>
      </x:c>
      <x:c r="J16" s="28" t="n">
        <x:f t="shared" si="3">IF(F16="","",A16-F16)</x:f>
        <x:v>-7</x:v>
      </x:c>
      <x:c r="L16" t="s">
        <x:v>51</x:v>
      </x:c>
    </x:row>
    <x:row r="17">
      <x:c r="A17">
        <x:v>16</x:v>
      </x:c>
      <x:c r="B17" t="s">
        <x:v>52</x:v>
      </x:c>
      <x:c r="C17" t="s">
        <x:v>53</x:v>
      </x:c>
      <x:c r="D17" t="s">
        <x:v>9</x:v>
      </x:c>
      <x:c r="E17" s="20">
        <x:v>36</x:v>
      </x:c>
      <x:c r="F17">
        <x:v>15</x:v>
      </x:c>
      <x:c r="G17" s="27" t="n">
        <x:f t="shared" si="0">MAX(0,42.71-(0.42*A17))</x:f>
        <x:v>35.99</x:v>
      </x:c>
      <x:c r="H17" s="27" t="n">
        <x:f t="shared" si="1">IF(E17="","",E17-G17)</x:f>
        <x:v>0.00999999999999801</x:v>
      </x:c>
      <x:c r="I17" t="str">
        <x:f t="shared" si="2">IF(E17="","No Auction Value",IF(OR(H17&gt;=8,J17&gt;=15),"🔥 STEAL",IF(OR(H17&gt;=4,J17&gt;=7),"✅ VALUE",IF(OR(H17&gt;=1.5,J17&gt;=3),"👍 SLIGHT VALUE",IF(AND(H17&gt;-1.5,H17&lt;1.5,J17&gt;-3,J17&lt;3),"FAIR",IF(OR(H17&lt;=-5,J17&lt;=-10),"❌ AVOID","⚠️ REACH"))))))</x:f>
        <x:v>FAIR</x:v>
      </x:c>
      <x:c r="J17" s="28" t="n">
        <x:f t="shared" si="3">IF(F17="","",A17-F17)</x:f>
        <x:v>1</x:v>
      </x:c>
    </x:row>
    <x:row r="18">
      <x:c r="A18">
        <x:v>17</x:v>
      </x:c>
      <x:c r="B18" t="s">
        <x:v>54</x:v>
      </x:c>
      <x:c r="C18" t="s">
        <x:v>55</x:v>
      </x:c>
      <x:c r="D18" t="s">
        <x:v>9</x:v>
      </x:c>
      <x:c r="E18" s="20">
        <x:v>37</x:v>
      </x:c>
      <x:c r="F18">
        <x:v>13</x:v>
      </x:c>
      <x:c r="G18" s="27" t="n">
        <x:f t="shared" si="0">MAX(0,42.71-(0.42*A18))</x:f>
        <x:v>35.57</x:v>
      </x:c>
      <x:c r="H18" s="27" t="n">
        <x:f t="shared" si="1">IF(E18="","",E18-G18)</x:f>
        <x:v>1.4299999999999997</x:v>
      </x:c>
      <x:c r="I18" t="str">
        <x:f t="shared" si="2">IF(E18="","No Auction Value",IF(OR(H18&gt;=8,J18&gt;=15),"🔥 STEAL",IF(OR(H18&gt;=4,J18&gt;=7),"✅ VALUE",IF(OR(H18&gt;=1.5,J18&gt;=3),"👍 SLIGHT VALUE",IF(AND(H18&gt;-1.5,H18&lt;1.5,J18&gt;-3,J18&lt;3),"FAIR",IF(OR(H18&lt;=-5,J18&lt;=-10),"❌ AVOID","⚠️ REACH"))))))</x:f>
        <x:v>👍 SLIGHT VALUE</x:v>
      </x:c>
      <x:c r="J18" s="28" t="n">
        <x:f t="shared" si="3">IF(F18="","",A18-F18)</x:f>
        <x:v>4</x:v>
      </x:c>
      <x:c r="L18" s="6" t="s">
        <x:v>56</x:v>
      </x:c>
      <x:c r="M18" s="6"/>
    </x:row>
    <x:row r="19">
      <x:c r="A19">
        <x:v>18</x:v>
      </x:c>
      <x:c r="B19" t="s">
        <x:v>57</x:v>
      </x:c>
      <x:c r="C19" t="s">
        <x:v>58</x:v>
      </x:c>
      <x:c r="D19" t="s">
        <x:v>9</x:v>
      </x:c>
      <x:c r="E19" s="20">
        <x:v>41</x:v>
      </x:c>
      <x:c r="F19">
        <x:v>9</x:v>
      </x:c>
      <x:c r="G19" s="27" t="n">
        <x:f t="shared" si="0">MAX(0,42.71-(0.42*A19))</x:f>
        <x:v>35.15</x:v>
      </x:c>
      <x:c r="H19" s="27" t="n">
        <x:f t="shared" si="1">IF(E19="","",E19-G19)</x:f>
        <x:v>5.850000000000001</x:v>
      </x:c>
      <x:c r="I19" t="str">
        <x:f t="shared" si="2">IF(E19="","No Auction Value",IF(OR(H19&gt;=8,J19&gt;=15),"🔥 STEAL",IF(OR(H19&gt;=4,J19&gt;=7),"✅ VALUE",IF(OR(H19&gt;=1.5,J19&gt;=3),"👍 SLIGHT VALUE",IF(AND(H19&gt;-1.5,H19&lt;1.5,J19&gt;-3,J19&lt;3),"FAIR",IF(OR(H19&lt;=-5,J19&lt;=-10),"❌ AVOID","⚠️ REACH"))))))</x:f>
        <x:v>✅ VALUE</x:v>
      </x:c>
      <x:c r="J19" s="28" t="n">
        <x:f t="shared" si="3">IF(F19="","",A19-F19)</x:f>
        <x:v>9</x:v>
      </x:c>
      <x:c r="L19" s="3" t="s">
        <x:v>59</x:v>
      </x:c>
      <x:c r="M19" s="3">
        <x:v>0.89722066325914007</x:v>
      </x:c>
    </x:row>
    <x:row r="20">
      <x:c r="A20">
        <x:v>19</x:v>
      </x:c>
      <x:c r="B20" t="s">
        <x:v>60</x:v>
      </x:c>
      <x:c r="C20" t="s">
        <x:v>61</x:v>
      </x:c>
      <x:c r="D20" t="s">
        <x:v>14</x:v>
      </x:c>
      <x:c r="E20" s="20">
        <x:v>39</x:v>
      </x:c>
      <x:c r="F20">
        <x:v>10</x:v>
      </x:c>
      <x:c r="G20" s="27" t="n">
        <x:f t="shared" si="0">MAX(0,42.71-(0.42*A20))</x:f>
        <x:v>34.730000000000004</x:v>
      </x:c>
      <x:c r="H20" s="27" t="n">
        <x:f t="shared" si="1">IF(E20="","",E20-G20)</x:f>
        <x:v>4.269999999999996</x:v>
      </x:c>
      <x:c r="I20" t="str">
        <x:f t="shared" si="2">IF(E20="","No Auction Value",IF(OR(H20&gt;=8,J20&gt;=15),"🔥 STEAL",IF(OR(H20&gt;=4,J20&gt;=7),"✅ VALUE",IF(OR(H20&gt;=1.5,J20&gt;=3),"👍 SLIGHT VALUE",IF(AND(H20&gt;-1.5,H20&lt;1.5,J20&gt;-3,J20&lt;3),"FAIR",IF(OR(H20&lt;=-5,J20&lt;=-10),"❌ AVOID","⚠️ REACH"))))))</x:f>
        <x:v>✅ VALUE</x:v>
      </x:c>
      <x:c r="J20" s="28" t="n">
        <x:f t="shared" si="3">IF(F20="","",A20-F20)</x:f>
        <x:v>9</x:v>
      </x:c>
      <x:c r="L20" s="3" t="s">
        <x:v>62</x:v>
      </x:c>
      <x:c r="M20" s="3">
        <x:v>0.80500491857917122</x:v>
      </x:c>
    </x:row>
    <x:row r="21">
      <x:c r="A21">
        <x:v>20</x:v>
      </x:c>
      <x:c r="B21" t="s">
        <x:v>63</x:v>
      </x:c>
      <x:c r="C21" t="s">
        <x:v>64</x:v>
      </x:c>
      <x:c r="D21" t="s">
        <x:v>65</x:v>
      </x:c>
      <x:c r="E21" s="20">
        <x:v>30</x:v>
      </x:c>
      <x:c r="F21">
        <x:v>25</x:v>
      </x:c>
      <x:c r="G21" s="27" t="n">
        <x:f t="shared" si="0">MAX(0,42.71-(0.42*A21))</x:f>
        <x:v>34.31</x:v>
      </x:c>
      <x:c r="H21" s="27" t="n">
        <x:f t="shared" si="1">IF(E21="","",E21-G21)</x:f>
        <x:v>-4.310000000000002</x:v>
      </x:c>
      <x:c r="I21" t="str">
        <x:f t="shared" si="2">IF(E21="","No Auction Value",IF(OR(H21&gt;=8,J21&gt;=15),"🔥 STEAL",IF(OR(H21&gt;=4,J21&gt;=7),"✅ VALUE",IF(OR(H21&gt;=1.5,J21&gt;=3),"👍 SLIGHT VALUE",IF(AND(H21&gt;-1.5,H21&lt;1.5,J21&gt;-3,J21&lt;3),"FAIR",IF(OR(H21&lt;=-5,J21&lt;=-10),"❌ AVOID","⚠️ REACH"))))))</x:f>
        <x:v>⚠️ REACH</x:v>
      </x:c>
      <x:c r="J21" s="28" t="n">
        <x:f t="shared" si="3">IF(F21="","",A21-F21)</x:f>
        <x:v>-5</x:v>
      </x:c>
      <x:c r="L21" s="3" t="s">
        <x:v>66</x:v>
      </x:c>
      <x:c r="M21" s="3">
        <x:v>0.80299466000782249</x:v>
      </x:c>
    </x:row>
    <x:row r="22">
      <x:c r="A22">
        <x:v>21</x:v>
      </x:c>
      <x:c r="B22" t="s">
        <x:v>67</x:v>
      </x:c>
      <x:c r="C22" t="s">
        <x:v>68</x:v>
      </x:c>
      <x:c r="D22" t="s">
        <x:v>9</x:v>
      </x:c>
      <x:c r="E22" s="20">
        <x:v>30</x:v>
      </x:c>
      <x:c r="F22">
        <x:v>25</x:v>
      </x:c>
      <x:c r="G22" s="27" t="n">
        <x:f t="shared" si="0">MAX(0,42.71-(0.42*A22))</x:f>
        <x:v>33.89</x:v>
      </x:c>
      <x:c r="H22" s="27" t="n">
        <x:f t="shared" si="1">IF(E22="","",E22-G22)</x:f>
        <x:v>-3.8900000000000006</x:v>
      </x:c>
      <x:c r="I22" t="str">
        <x:f t="shared" si="2">IF(E22="","No Auction Value",IF(OR(H22&gt;=8,J22&gt;=15),"🔥 STEAL",IF(OR(H22&gt;=4,J22&gt;=7),"✅ VALUE",IF(OR(H22&gt;=1.5,J22&gt;=3),"👍 SLIGHT VALUE",IF(AND(H22&gt;-1.5,H22&lt;1.5,J22&gt;-3,J22&lt;3),"FAIR",IF(OR(H22&lt;=-5,J22&lt;=-10),"❌ AVOID","⚠️ REACH"))))))</x:f>
        <x:v>⚠️ REACH</x:v>
      </x:c>
      <x:c r="J22" s="28" t="n">
        <x:f t="shared" si="3">IF(F22="","",A22-F22)</x:f>
        <x:v>-4</x:v>
      </x:c>
      <x:c r="L22" s="3" t="s">
        <x:v>69</x:v>
      </x:c>
      <x:c r="M22" s="3">
        <x:v>6.049721733396817</x:v>
      </x:c>
    </x:row>
    <x:row r="23">
      <x:c r="A23">
        <x:v>22</x:v>
      </x:c>
      <x:c r="B23" t="s">
        <x:v>70</x:v>
      </x:c>
      <x:c r="C23" t="s">
        <x:v>71</x:v>
      </x:c>
      <x:c r="D23" t="s">
        <x:v>9</x:v>
      </x:c>
      <x:c r="E23" s="20">
        <x:v>26</x:v>
      </x:c>
      <x:c r="F23">
        <x:v>33</x:v>
      </x:c>
      <x:c r="G23" s="27" t="n">
        <x:f t="shared" si="0">MAX(0,42.71-(0.42*A23))</x:f>
        <x:v>33.47</x:v>
      </x:c>
      <x:c r="H23" s="27" t="n">
        <x:f t="shared" si="1">IF(E23="","",E23-G23)</x:f>
        <x:v>-7.469999999999999</x:v>
      </x:c>
      <x:c r="I23" t="str">
        <x:f t="shared" si="2">IF(E23="","No Auction Value",IF(OR(H23&gt;=8,J23&gt;=15),"🔥 STEAL",IF(OR(H23&gt;=4,J23&gt;=7),"✅ VALUE",IF(OR(H23&gt;=1.5,J23&gt;=3),"👍 SLIGHT VALUE",IF(AND(H23&gt;-1.5,H23&lt;1.5,J23&gt;-3,J23&lt;3),"FAIR",IF(OR(H23&lt;=-5,J23&lt;=-10),"❌ AVOID","⚠️ REACH"))))))</x:f>
        <x:v>❌ AVOID</x:v>
      </x:c>
      <x:c r="J23" s="28" t="n">
        <x:f t="shared" si="3">IF(F23="","",A23-F23)</x:f>
        <x:v>-11</x:v>
      </x:c>
      <x:c r="L23" s="4" t="s">
        <x:v>72</x:v>
      </x:c>
      <x:c r="M23" s="4">
        <x:v>99</x:v>
      </x:c>
    </x:row>
    <x:row r="24">
      <x:c r="A24">
        <x:v>23</x:v>
      </x:c>
      <x:c r="B24" t="s">
        <x:v>73</x:v>
      </x:c>
      <x:c r="C24" t="s">
        <x:v>74</x:v>
      </x:c>
      <x:c r="D24" t="s">
        <x:v>14</x:v>
      </x:c>
      <x:c r="E24" s="20">
        <x:v>33</x:v>
      </x:c>
      <x:c r="F24">
        <x:v>19</x:v>
      </x:c>
      <x:c r="G24" s="27" t="n">
        <x:f t="shared" si="0">MAX(0,42.71-(0.42*A24))</x:f>
        <x:v>33.05</x:v>
      </x:c>
      <x:c r="H24" s="27" t="n">
        <x:f t="shared" si="1">IF(E24="","",E24-G24)</x:f>
        <x:v>-0.04999999999999716</x:v>
      </x:c>
      <x:c r="I24" t="str">
        <x:f t="shared" si="2">IF(E24="","No Auction Value",IF(OR(H24&gt;=8,J24&gt;=15),"🔥 STEAL",IF(OR(H24&gt;=4,J24&gt;=7),"✅ VALUE",IF(OR(H24&gt;=1.5,J24&gt;=3),"👍 SLIGHT VALUE",IF(AND(H24&gt;-1.5,H24&lt;1.5,J24&gt;-3,J24&lt;3),"FAIR",IF(OR(H24&lt;=-5,J24&lt;=-10),"❌ AVOID","⚠️ REACH"))))))</x:f>
        <x:v>👍 SLIGHT VALUE</x:v>
      </x:c>
      <x:c r="J24" s="28" t="n">
        <x:f t="shared" si="3">IF(F24="","",A24-F24)</x:f>
        <x:v>4</x:v>
      </x:c>
    </x:row>
    <x:row r="25">
      <x:c r="A25">
        <x:v>24</x:v>
      </x:c>
      <x:c r="B25" t="s">
        <x:v>75</x:v>
      </x:c>
      <x:c r="C25" t="s">
        <x:v>76</x:v>
      </x:c>
      <x:c r="D25" t="s">
        <x:v>14</x:v>
      </x:c>
      <x:c r="E25" s="20">
        <x:v>31</x:v>
      </x:c>
      <x:c r="F25">
        <x:v>22</x:v>
      </x:c>
      <x:c r="G25" s="27" t="n">
        <x:f t="shared" si="0">MAX(0,42.71-(0.42*A25))</x:f>
        <x:v>32.63</x:v>
      </x:c>
      <x:c r="H25" s="27" t="n">
        <x:f t="shared" si="1">IF(E25="","",E25-G25)</x:f>
        <x:v>-1.6300000000000026</x:v>
      </x:c>
      <x:c r="I25" t="str">
        <x:f t="shared" si="2">IF(E25="","No Auction Value",IF(OR(H25&gt;=8,J25&gt;=15),"🔥 STEAL",IF(OR(H25&gt;=4,J25&gt;=7),"✅ VALUE",IF(OR(H25&gt;=1.5,J25&gt;=3),"👍 SLIGHT VALUE",IF(AND(H25&gt;-1.5,H25&lt;1.5,J25&gt;-3,J25&lt;3),"FAIR",IF(OR(H25&lt;=-5,J25&lt;=-10),"❌ AVOID","⚠️ REACH"))))))</x:f>
        <x:v>⚠️ REACH</x:v>
      </x:c>
      <x:c r="J25" s="28" t="n">
        <x:f t="shared" si="3">IF(F25="","",A25-F25)</x:f>
        <x:v>2</x:v>
      </x:c>
      <x:c r="L25" t="s">
        <x:v>77</x:v>
      </x:c>
    </x:row>
    <x:row r="26">
      <x:c r="A26">
        <x:v>25</x:v>
      </x:c>
      <x:c r="B26" t="s">
        <x:v>78</x:v>
      </x:c>
      <x:c r="C26" t="s">
        <x:v>79</x:v>
      </x:c>
      <x:c r="D26" t="s">
        <x:v>14</x:v>
      </x:c>
      <x:c r="E26" s="20">
        <x:v>35</x:v>
      </x:c>
      <x:c r="F26">
        <x:v>16</x:v>
      </x:c>
      <x:c r="G26" s="27" t="n">
        <x:f t="shared" si="0">MAX(0,42.71-(0.42*A26))</x:f>
        <x:v>32.21</x:v>
      </x:c>
      <x:c r="H26" s="27" t="n">
        <x:f t="shared" si="1">IF(E26="","",E26-G26)</x:f>
        <x:v>2.789999999999999</x:v>
      </x:c>
      <x:c r="I26" t="str">
        <x:f t="shared" si="2">IF(E26="","No Auction Value",IF(OR(H26&gt;=8,J26&gt;=15),"🔥 STEAL",IF(OR(H26&gt;=4,J26&gt;=7),"✅ VALUE",IF(OR(H26&gt;=1.5,J26&gt;=3),"👍 SLIGHT VALUE",IF(AND(H26&gt;-1.5,H26&lt;1.5,J26&gt;-3,J26&lt;3),"FAIR",IF(OR(H26&lt;=-5,J26&lt;=-10),"❌ AVOID","⚠️ REACH"))))))</x:f>
        <x:v>✅ VALUE</x:v>
      </x:c>
      <x:c r="J26" s="28" t="n">
        <x:f t="shared" si="3">IF(F26="","",A26-F26)</x:f>
        <x:v>9</x:v>
      </x:c>
      <x:c r="L26" s="5"/>
      <x:c r="M26" s="5" t="s">
        <x:v>80</x:v>
      </x:c>
      <x:c r="N26" s="5" t="s">
        <x:v>81</x:v>
      </x:c>
      <x:c r="O26" s="5" t="s">
        <x:v>82</x:v>
      </x:c>
      <x:c r="P26" s="5" t="s">
        <x:v>83</x:v>
      </x:c>
      <x:c r="Q26" s="5" t="s">
        <x:v>84</x:v>
      </x:c>
    </x:row>
    <x:row r="27">
      <x:c r="A27">
        <x:v>26</x:v>
      </x:c>
      <x:c r="B27" t="s">
        <x:v>85</x:v>
      </x:c>
      <x:c r="C27" t="s">
        <x:v>86</x:v>
      </x:c>
      <x:c r="D27" t="s">
        <x:v>14</x:v>
      </x:c>
      <x:c r="E27" s="20">
        <x:v>31</x:v>
      </x:c>
      <x:c r="F27">
        <x:v>22</x:v>
      </x:c>
      <x:c r="G27" s="27" t="n">
        <x:f t="shared" si="0">MAX(0,42.71-(0.42*A27))</x:f>
        <x:v>31.79</x:v>
      </x:c>
      <x:c r="H27" s="27" t="n">
        <x:f t="shared" si="1">IF(E27="","",E27-G27)</x:f>
        <x:v>-0.7899999999999991</x:v>
      </x:c>
      <x:c r="I27" t="str">
        <x:f t="shared" si="2">IF(E27="","No Auction Value",IF(OR(H27&gt;=8,J27&gt;=15),"🔥 STEAL",IF(OR(H27&gt;=4,J27&gt;=7),"✅ VALUE",IF(OR(H27&gt;=1.5,J27&gt;=3),"👍 SLIGHT VALUE",IF(AND(H27&gt;-1.5,H27&lt;1.5,J27&gt;-3,J27&lt;3),"FAIR",IF(OR(H27&lt;=-5,J27&lt;=-10),"❌ AVOID","⚠️ REACH"))))))</x:f>
        <x:v>👍 SLIGHT VALUE</x:v>
      </x:c>
      <x:c r="J27" s="28" t="n">
        <x:f t="shared" si="3">IF(F27="","",A27-F27)</x:f>
        <x:v>4</x:v>
      </x:c>
      <x:c r="L27" s="3" t="s">
        <x:v>87</x:v>
      </x:c>
      <x:c r="M27" s="3">
        <x:v>1</x:v>
      </x:c>
      <x:c r="N27" s="3">
        <x:v>14656.065912183039</x:v>
      </x:c>
      <x:c r="O27" s="3">
        <x:v>14656.065912183039</x:v>
      </x:c>
      <x:c r="P27" s="3">
        <x:v>400.44844481825339</x:v>
      </x:c>
      <x:c r="Q27" s="3">
        <x:v>3.3084657952524712E-36</x:v>
      </x:c>
    </x:row>
    <x:row r="28">
      <x:c r="A28">
        <x:v>27</x:v>
      </x:c>
      <x:c r="B28" t="s">
        <x:v>88</x:v>
      </x:c>
      <x:c r="C28" t="s">
        <x:v>89</x:v>
      </x:c>
      <x:c r="D28" t="s">
        <x:v>65</x:v>
      </x:c>
      <x:c r="E28" s="20">
        <x:v>34</x:v>
      </x:c>
      <x:c r="F28">
        <x:v>18</x:v>
      </x:c>
      <x:c r="G28" s="27" t="n">
        <x:f t="shared" si="0">MAX(0,42.71-(0.42*A28))</x:f>
        <x:v>31.37</x:v>
      </x:c>
      <x:c r="H28" s="27" t="n">
        <x:f t="shared" si="1">IF(E28="","",E28-G28)</x:f>
        <x:v>2.629999999999999</x:v>
      </x:c>
      <x:c r="I28" t="str">
        <x:f t="shared" si="2">IF(E28="","No Auction Value",IF(OR(H28&gt;=8,J28&gt;=15),"🔥 STEAL",IF(OR(H28&gt;=4,J28&gt;=7),"✅ VALUE",IF(OR(H28&gt;=1.5,J28&gt;=3),"👍 SLIGHT VALUE",IF(AND(H28&gt;-1.5,H28&lt;1.5,J28&gt;-3,J28&lt;3),"FAIR",IF(OR(H28&lt;=-5,J28&lt;=-10),"❌ AVOID","⚠️ REACH"))))))</x:f>
        <x:v>✅ VALUE</x:v>
      </x:c>
      <x:c r="J28" s="28" t="n">
        <x:f t="shared" si="3">IF(F28="","",A28-F28)</x:f>
        <x:v>9</x:v>
      </x:c>
      <x:c r="L28" s="3" t="s">
        <x:v>90</x:v>
      </x:c>
      <x:c r="M28" s="3">
        <x:v>97</x:v>
      </x:c>
      <x:c r="N28" s="3">
        <x:v>3550.1159059987767</x:v>
      </x:c>
      <x:c r="O28" s="3">
        <x:v>36.599133051533784</x:v>
      </x:c>
      <x:c r="P28" s="3"/>
      <x:c r="Q28" s="3"/>
    </x:row>
    <x:row r="29">
      <x:c r="A29">
        <x:v>28</x:v>
      </x:c>
      <x:c r="B29" t="s">
        <x:v>91</x:v>
      </x:c>
      <x:c r="C29" t="s">
        <x:v>92</x:v>
      </x:c>
      <x:c r="D29" t="s">
        <x:v>14</x:v>
      </x:c>
      <x:c r="E29" s="20">
        <x:v>37</x:v>
      </x:c>
      <x:c r="F29">
        <x:v>13</x:v>
      </x:c>
      <x:c r="G29" s="27" t="n">
        <x:f t="shared" si="0">MAX(0,42.71-(0.42*A29))</x:f>
        <x:v>30.950000000000003</x:v>
      </x:c>
      <x:c r="H29" s="27" t="n">
        <x:f t="shared" si="1">IF(E29="","",E29-G29)</x:f>
        <x:v>6.049999999999997</x:v>
      </x:c>
      <x:c r="I29" t="str">
        <x:f t="shared" si="2">IF(E29="","No Auction Value",IF(OR(H29&gt;=8,J29&gt;=15),"🔥 STEAL",IF(OR(H29&gt;=4,J29&gt;=7),"✅ VALUE",IF(OR(H29&gt;=1.5,J29&gt;=3),"👍 SLIGHT VALUE",IF(AND(H29&gt;-1.5,H29&lt;1.5,J29&gt;-3,J29&lt;3),"FAIR",IF(OR(H29&lt;=-5,J29&lt;=-10),"❌ AVOID","⚠️ REACH"))))))</x:f>
        <x:v>🔥 STEAL</x:v>
      </x:c>
      <x:c r="J29" s="28" t="n">
        <x:f t="shared" si="3">IF(F29="","",A29-F29)</x:f>
        <x:v>15</x:v>
      </x:c>
      <x:c r="L29" s="4" t="s">
        <x:v>93</x:v>
      </x:c>
      <x:c r="M29" s="4">
        <x:v>98</x:v>
      </x:c>
      <x:c r="N29" s="4">
        <x:v>18206.181818181816</x:v>
      </x:c>
      <x:c r="O29" s="4"/>
      <x:c r="P29" s="4"/>
      <x:c r="Q29" s="4"/>
    </x:row>
    <x:row r="30">
      <x:c r="A30">
        <x:v>29</x:v>
      </x:c>
      <x:c r="B30" t="s">
        <x:v>94</x:v>
      </x:c>
      <x:c r="C30" t="s">
        <x:v>95</x:v>
      </x:c>
      <x:c r="D30" t="s">
        <x:v>14</x:v>
      </x:c>
      <x:c r="E30" s="20">
        <x:v>28</x:v>
      </x:c>
      <x:c r="F30">
        <x:v>29</x:v>
      </x:c>
      <x:c r="G30" s="27" t="n">
        <x:f t="shared" si="0">MAX(0,42.71-(0.42*A30))</x:f>
        <x:v>30.53</x:v>
      </x:c>
      <x:c r="H30" s="27" t="n">
        <x:f t="shared" si="1">IF(E30="","",E30-G30)</x:f>
        <x:v>-2.530000000000001</x:v>
      </x:c>
      <x:c r="I30" t="str">
        <x:f t="shared" si="2">IF(E30="","No Auction Value",IF(OR(H30&gt;=8,J30&gt;=15),"🔥 STEAL",IF(OR(H30&gt;=4,J30&gt;=7),"✅ VALUE",IF(OR(H30&gt;=1.5,J30&gt;=3),"👍 SLIGHT VALUE",IF(AND(H30&gt;-1.5,H30&lt;1.5,J30&gt;-3,J30&lt;3),"FAIR",IF(OR(H30&lt;=-5,J30&lt;=-10),"❌ AVOID","⚠️ REACH"))))))</x:f>
        <x:v>⚠️ REACH</x:v>
      </x:c>
      <x:c r="J30" s="28" t="n">
        <x:f t="shared" si="3">IF(F30="","",A30-F30)</x:f>
        <x:v>0</x:v>
      </x:c>
    </x:row>
    <x:row r="31">
      <x:c r="A31">
        <x:v>30</x:v>
      </x:c>
      <x:c r="B31" t="s">
        <x:v>96</x:v>
      </x:c>
      <x:c r="C31" t="s">
        <x:v>97</x:v>
      </x:c>
      <x:c r="D31" t="s">
        <x:v>14</x:v>
      </x:c>
      <x:c r="E31" s="20">
        <x:v>20</x:v>
      </x:c>
      <x:c r="F31">
        <x:v>44</x:v>
      </x:c>
      <x:c r="G31" s="27" t="n">
        <x:f t="shared" si="0">MAX(0,42.71-(0.42*A31))</x:f>
        <x:v>30.11</x:v>
      </x:c>
      <x:c r="H31" s="27" t="n">
        <x:f t="shared" si="1">IF(E31="","",E31-G31)</x:f>
        <x:v>-10.11</x:v>
      </x:c>
      <x:c r="I31" t="str">
        <x:f t="shared" si="2">IF(E31="","No Auction Value",IF(OR(H31&gt;=8,J31&gt;=15),"🔥 STEAL",IF(OR(H31&gt;=4,J31&gt;=7),"✅ VALUE",IF(OR(H31&gt;=1.5,J31&gt;=3),"👍 SLIGHT VALUE",IF(AND(H31&gt;-1.5,H31&lt;1.5,J31&gt;-3,J31&lt;3),"FAIR",IF(OR(H31&lt;=-5,J31&lt;=-10),"❌ AVOID","⚠️ REACH"))))))</x:f>
        <x:v>❌ AVOID</x:v>
      </x:c>
      <x:c r="J31" s="28" t="n">
        <x:f t="shared" si="3">IF(F31="","",A31-F31)</x:f>
        <x:v>-14</x:v>
      </x:c>
      <x:c r="L31" s="5"/>
      <x:c r="M31" s="5" t="s">
        <x:v>98</x:v>
      </x:c>
      <x:c r="N31" s="5" t="s">
        <x:v>69</x:v>
      </x:c>
      <x:c r="O31" s="5" t="s">
        <x:v>99</x:v>
      </x:c>
      <x:c r="P31" s="5" t="s">
        <x:v>100</x:v>
      </x:c>
      <x:c r="Q31" s="5" t="s">
        <x:v>101</x:v>
      </x:c>
      <x:c r="R31" s="5" t="s">
        <x:v>102</x:v>
      </x:c>
      <x:c r="S31" s="5" t="s">
        <x:v>103</x:v>
      </x:c>
      <x:c r="T31" s="5" t="s">
        <x:v>104</x:v>
      </x:c>
      <x:c r="U31" s="5"/>
    </x:row>
    <x:row r="32">
      <x:c r="A32">
        <x:v>31</x:v>
      </x:c>
      <x:c r="B32" t="s">
        <x:v>105</x:v>
      </x:c>
      <x:c r="C32" t="s">
        <x:v>106</x:v>
      </x:c>
      <x:c r="D32" t="s">
        <x:v>9</x:v>
      </x:c>
      <x:c r="E32" s="20">
        <x:v>29</x:v>
      </x:c>
      <x:c r="F32">
        <x:v>28</x:v>
      </x:c>
      <x:c r="G32" s="27" t="n">
        <x:f t="shared" si="0">MAX(0,42.71-(0.42*A32))</x:f>
        <x:v>29.69</x:v>
      </x:c>
      <x:c r="H32" s="27" t="n">
        <x:f t="shared" si="1">IF(E32="","",E32-G32)</x:f>
        <x:v>-0.6900000000000013</x:v>
      </x:c>
      <x:c r="I32" t="str">
        <x:f t="shared" si="2">IF(E32="","No Auction Value",IF(OR(H32&gt;=8,J32&gt;=15),"🔥 STEAL",IF(OR(H32&gt;=4,J32&gt;=7),"✅ VALUE",IF(OR(H32&gt;=1.5,J32&gt;=3),"👍 SLIGHT VALUE",IF(AND(H32&gt;-1.5,H32&lt;1.5,J32&gt;-3,J32&lt;3),"FAIR",IF(OR(H32&lt;=-5,J32&lt;=-10),"❌ AVOID","⚠️ REACH"))))))</x:f>
        <x:v>👍 SLIGHT VALUE</x:v>
      </x:c>
      <x:c r="J32" s="28" t="n">
        <x:f t="shared" si="3">IF(F32="","",A32-F32)</x:f>
        <x:v>3</x:v>
      </x:c>
      <x:c r="L32" s="3" t="s">
        <x:v>107</x:v>
      </x:c>
      <x:c r="M32" s="3">
        <x:v>42.712430426716146</x:v>
      </x:c>
      <x:c r="N32" s="3">
        <x:v>1.2253109086144538</x:v>
      </x:c>
      <x:c r="O32" s="3">
        <x:v>34.858442968580221</x:v>
      </x:c>
      <x:c r="P32" s="3">
        <x:v>1.1497889249113377E-56</x:v>
      </x:c>
      <x:c r="Q32" s="3">
        <x:v>40.28052745631318</x:v>
      </x:c>
      <x:c r="R32" s="3">
        <x:v>45.144333397119112</x:v>
      </x:c>
      <x:c r="S32" s="3">
        <x:v>40.28052745631318</x:v>
      </x:c>
      <x:c r="T32" s="3">
        <x:v>45.144333397119112</x:v>
      </x:c>
      <x:c r="U32" s="3"/>
    </x:row>
    <x:row r="33">
      <x:c r="A33">
        <x:v>32</x:v>
      </x:c>
      <x:c r="B33" t="s">
        <x:v>108</x:v>
      </x:c>
      <x:c r="C33" t="s">
        <x:v>109</x:v>
      </x:c>
      <x:c r="D33" t="s">
        <x:v>14</x:v>
      </x:c>
      <x:c r="E33" s="20">
        <x:v>28</x:v>
      </x:c>
      <x:c r="F33">
        <x:v>29</x:v>
      </x:c>
      <x:c r="G33" s="27" t="n">
        <x:f t="shared" si="0">MAX(0,42.71-(0.42*A33))</x:f>
        <x:v>29.270000000000003</x:v>
      </x:c>
      <x:c r="H33" s="27" t="n">
        <x:f t="shared" si="1">IF(E33="","",E33-G33)</x:f>
        <x:v>-1.2700000000000031</x:v>
      </x:c>
      <x:c r="I33" t="str">
        <x:f t="shared" si="2">IF(E33="","No Auction Value",IF(OR(H33&gt;=8,J33&gt;=15),"🔥 STEAL",IF(OR(H33&gt;=4,J33&gt;=7),"✅ VALUE",IF(OR(H33&gt;=1.5,J33&gt;=3),"👍 SLIGHT VALUE",IF(AND(H33&gt;-1.5,H33&lt;1.5,J33&gt;-3,J33&lt;3),"FAIR",IF(OR(H33&lt;=-5,J33&lt;=-10),"❌ AVOID","⚠️ REACH"))))))</x:f>
        <x:v>👍 SLIGHT VALUE</x:v>
      </x:c>
      <x:c r="J33" s="28" t="n">
        <x:f t="shared" si="3">IF(F33="","",A33-F33)</x:f>
        <x:v>3</x:v>
      </x:c>
      <x:c r="L33" s="4" t="s">
        <x:v>0</x:v>
      </x:c>
      <x:c r="M33" s="4">
        <x:v>-0.42576376004947442</x:v>
      </x:c>
      <x:c r="N33" s="4">
        <x:v>2.1276264804968213E-2</x:v>
      </x:c>
      <x:c r="O33" s="4">
        <x:v>-20.011207979985965</x:v>
      </x:c>
      <x:c r="P33" s="4">
        <x:v>3.3084657952522353E-36</x:v>
      </x:c>
      <x:c r="Q33" s="4">
        <x:v>-0.46799125611966813</x:v>
      </x:c>
      <x:c r="R33" s="4">
        <x:v>-0.3835362639792807</x:v>
      </x:c>
      <x:c r="S33" s="4">
        <x:v>-0.46799125611966813</x:v>
      </x:c>
      <x:c r="T33" s="4">
        <x:v>-0.3835362639792807</x:v>
      </x:c>
      <x:c r="U33" s="4"/>
    </x:row>
    <x:row r="34">
      <x:c r="A34">
        <x:v>33</x:v>
      </x:c>
      <x:c r="B34" t="s">
        <x:v>110</x:v>
      </x:c>
      <x:c r="C34" t="s">
        <x:v>111</x:v>
      </x:c>
      <x:c r="D34" t="s">
        <x:v>9</x:v>
      </x:c>
      <x:c r="E34" s="20">
        <x:v>25</x:v>
      </x:c>
      <x:c r="F34">
        <x:v>35</x:v>
      </x:c>
      <x:c r="G34" s="27" t="n">
        <x:f t="shared" si="0">MAX(0,42.71-(0.42*A34))</x:f>
        <x:v>28.85</x:v>
      </x:c>
      <x:c r="H34" s="27" t="n">
        <x:f t="shared" si="1">IF(E34="","",E34-G34)</x:f>
        <x:v>-3.8500000000000014</x:v>
      </x:c>
      <x:c r="I34" t="str">
        <x:f t="shared" si="2">IF(E34="","No Auction Value",IF(OR(H34&gt;=8,J34&gt;=15),"🔥 STEAL",IF(OR(H34&gt;=4,J34&gt;=7),"✅ VALUE",IF(OR(H34&gt;=1.5,J34&gt;=3),"👍 SLIGHT VALUE",IF(AND(H34&gt;-1.5,H34&lt;1.5,J34&gt;-3,J34&lt;3),"FAIR",IF(OR(H34&lt;=-5,J34&lt;=-10),"❌ AVOID","⚠️ REACH"))))))</x:f>
        <x:v>⚠️ REACH</x:v>
      </x:c>
      <x:c r="J34" s="28" t="n">
        <x:f t="shared" si="3">IF(F34="","",A34-F34)</x:f>
        <x:v>-2</x:v>
      </x:c>
    </x:row>
    <x:row r="35">
      <x:c r="A35">
        <x:v>34</x:v>
      </x:c>
      <x:c r="B35" t="s">
        <x:v>112</x:v>
      </x:c>
      <x:c r="C35" t="s">
        <x:v>113</x:v>
      </x:c>
      <x:c r="D35" t="s">
        <x:v>9</x:v>
      </x:c>
      <x:c r="E35" s="20">
        <x:v>28</x:v>
      </x:c>
      <x:c r="F35">
        <x:v>29</x:v>
      </x:c>
      <x:c r="G35" s="27" t="n">
        <x:f t="shared" si="0">MAX(0,42.71-(0.42*A35))</x:f>
        <x:v>28.43</x:v>
      </x:c>
      <x:c r="H35" s="27" t="n">
        <x:f t="shared" si="1">IF(E35="","",E35-G35)</x:f>
        <x:v>-0.4299999999999997</x:v>
      </x:c>
      <x:c r="I35" t="str">
        <x:f t="shared" si="2">IF(E35="","No Auction Value",IF(OR(H35&gt;=8,J35&gt;=15),"🔥 STEAL",IF(OR(H35&gt;=4,J35&gt;=7),"✅ VALUE",IF(OR(H35&gt;=1.5,J35&gt;=3),"👍 SLIGHT VALUE",IF(AND(H35&gt;-1.5,H35&lt;1.5,J35&gt;-3,J35&lt;3),"FAIR",IF(OR(H35&lt;=-5,J35&lt;=-10),"❌ AVOID","⚠️ REACH"))))))</x:f>
        <x:v>👍 SLIGHT VALUE</x:v>
      </x:c>
      <x:c r="J35" s="28" t="n">
        <x:f t="shared" si="3">IF(F35="","",A35-F35)</x:f>
        <x:v>5</x:v>
      </x:c>
    </x:row>
    <x:row r="36">
      <x:c r="A36">
        <x:v>35</x:v>
      </x:c>
      <x:c r="B36" t="s">
        <x:v>114</x:v>
      </x:c>
      <x:c r="C36" t="s">
        <x:v>115</x:v>
      </x:c>
      <x:c r="D36" t="s">
        <x:v>116</x:v>
      </x:c>
      <x:c r="E36" s="20">
        <x:v>30</x:v>
      </x:c>
      <x:c r="F36">
        <x:v>25</x:v>
      </x:c>
      <x:c r="G36" s="27" t="n">
        <x:f t="shared" si="0">MAX(0,42.71-(0.42*A36))</x:f>
        <x:v>28.01</x:v>
      </x:c>
      <x:c r="H36" s="27" t="n">
        <x:f t="shared" si="1">IF(E36="","",E36-G36)</x:f>
        <x:v>1.9899999999999984</x:v>
      </x:c>
      <x:c r="I36" t="str">
        <x:f t="shared" si="2">IF(E36="","No Auction Value",IF(OR(H36&gt;=8,J36&gt;=15),"🔥 STEAL",IF(OR(H36&gt;=4,J36&gt;=7),"✅ VALUE",IF(OR(H36&gt;=1.5,J36&gt;=3),"👍 SLIGHT VALUE",IF(AND(H36&gt;-1.5,H36&lt;1.5,J36&gt;-3,J36&lt;3),"FAIR",IF(OR(H36&lt;=-5,J36&lt;=-10),"❌ AVOID","⚠️ REACH"))))))</x:f>
        <x:v>✅ VALUE</x:v>
      </x:c>
      <x:c r="J36" s="28" t="n">
        <x:f t="shared" si="3">IF(F36="","",A36-F36)</x:f>
        <x:v>10</x:v>
      </x:c>
    </x:row>
    <x:row r="37">
      <x:c r="A37">
        <x:v>36</x:v>
      </x:c>
      <x:c r="B37" t="s">
        <x:v>117</x:v>
      </x:c>
      <x:c r="C37" t="s">
        <x:v>118</x:v>
      </x:c>
      <x:c r="D37" t="s">
        <x:v>14</x:v>
      </x:c>
      <x:c r="E37" s="20">
        <x:v>28</x:v>
      </x:c>
      <x:c r="F37">
        <x:v>29</x:v>
      </x:c>
      <x:c r="G37" s="27" t="n">
        <x:f t="shared" si="0">MAX(0,42.71-(0.42*A37))</x:f>
        <x:v>27.590000000000003</x:v>
      </x:c>
      <x:c r="H37" s="27" t="n">
        <x:f t="shared" si="1">IF(E37="","",E37-G37)</x:f>
        <x:v>0.4099999999999966</x:v>
      </x:c>
      <x:c r="I37" t="str">
        <x:f t="shared" si="2">IF(E37="","No Auction Value",IF(OR(H37&gt;=8,J37&gt;=15),"🔥 STEAL",IF(OR(H37&gt;=4,J37&gt;=7),"✅ VALUE",IF(OR(H37&gt;=1.5,J37&gt;=3),"👍 SLIGHT VALUE",IF(AND(H37&gt;-1.5,H37&lt;1.5,J37&gt;-3,J37&lt;3),"FAIR",IF(OR(H37&lt;=-5,J37&lt;=-10),"❌ AVOID","⚠️ REACH"))))))</x:f>
        <x:v>✅ VALUE</x:v>
      </x:c>
      <x:c r="J37" s="28" t="n">
        <x:f t="shared" si="3">IF(F37="","",A37-F37)</x:f>
        <x:v>7</x:v>
      </x:c>
    </x:row>
    <x:row r="38">
      <x:c r="A38">
        <x:v>37</x:v>
      </x:c>
      <x:c r="B38" t="s">
        <x:v>119</x:v>
      </x:c>
      <x:c r="C38" t="s">
        <x:v>120</x:v>
      </x:c>
      <x:c r="D38" t="s">
        <x:v>14</x:v>
      </x:c>
      <x:c r="E38" s="20">
        <x:v>24</x:v>
      </x:c>
      <x:c r="F38">
        <x:v>39</x:v>
      </x:c>
      <x:c r="G38" s="27" t="n">
        <x:f t="shared" si="0">MAX(0,42.71-(0.42*A38))</x:f>
        <x:v>27.17</x:v>
      </x:c>
      <x:c r="H38" s="27" t="n">
        <x:f t="shared" si="1">IF(E38="","",E38-G38)</x:f>
        <x:v>-3.1700000000000017</x:v>
      </x:c>
      <x:c r="I38" t="str">
        <x:f t="shared" si="2">IF(E38="","No Auction Value",IF(OR(H38&gt;=8,J38&gt;=15),"🔥 STEAL",IF(OR(H38&gt;=4,J38&gt;=7),"✅ VALUE",IF(OR(H38&gt;=1.5,J38&gt;=3),"👍 SLIGHT VALUE",IF(AND(H38&gt;-1.5,H38&lt;1.5,J38&gt;-3,J38&lt;3),"FAIR",IF(OR(H38&lt;=-5,J38&lt;=-10),"❌ AVOID","⚠️ REACH"))))))</x:f>
        <x:v>⚠️ REACH</x:v>
      </x:c>
      <x:c r="J38" s="28" t="n">
        <x:f t="shared" si="3">IF(F38="","",A38-F38)</x:f>
        <x:v>-2</x:v>
      </x:c>
    </x:row>
    <x:row r="39">
      <x:c r="A39">
        <x:v>38</x:v>
      </x:c>
      <x:c r="B39" t="s">
        <x:v>121</x:v>
      </x:c>
      <x:c r="C39" t="s">
        <x:v>122</x:v>
      </x:c>
      <x:c r="D39" t="s">
        <x:v>14</x:v>
      </x:c>
      <x:c r="E39" s="20">
        <x:v>21</x:v>
      </x:c>
      <x:c r="F39">
        <x:v>42</x:v>
      </x:c>
      <x:c r="G39" s="27" t="n">
        <x:f t="shared" si="0">MAX(0,42.71-(0.42*A39))</x:f>
        <x:v>26.75</x:v>
      </x:c>
      <x:c r="H39" s="27" t="n">
        <x:f t="shared" si="1">IF(E39="","",E39-G39)</x:f>
        <x:v>-5.75</x:v>
      </x:c>
      <x:c r="I39" t="str">
        <x:f t="shared" si="2">IF(E39="","No Auction Value",IF(OR(H39&gt;=8,J39&gt;=15),"🔥 STEAL",IF(OR(H39&gt;=4,J39&gt;=7),"✅ VALUE",IF(OR(H39&gt;=1.5,J39&gt;=3),"👍 SLIGHT VALUE",IF(AND(H39&gt;-1.5,H39&lt;1.5,J39&gt;-3,J39&lt;3),"FAIR",IF(OR(H39&lt;=-5,J39&lt;=-10),"❌ AVOID","⚠️ REACH"))))))</x:f>
        <x:v>❌ AVOID</x:v>
      </x:c>
      <x:c r="J39" s="28" t="n">
        <x:f t="shared" si="3">IF(F39="","",A39-F39)</x:f>
        <x:v>-4</x:v>
      </x:c>
    </x:row>
    <x:row r="40">
      <x:c r="A40">
        <x:v>39</x:v>
      </x:c>
      <x:c r="B40" t="s">
        <x:v>123</x:v>
      </x:c>
      <x:c r="C40" t="s">
        <x:v>124</x:v>
      </x:c>
      <x:c r="D40" t="s">
        <x:v>14</x:v>
      </x:c>
      <x:c r="E40" s="20">
        <x:v>18</x:v>
      </x:c>
      <x:c r="F40">
        <x:v>48</x:v>
      </x:c>
      <x:c r="G40" s="27" t="n">
        <x:f t="shared" si="0">MAX(0,42.71-(0.42*A40))</x:f>
        <x:v>26.330000000000002</x:v>
      </x:c>
      <x:c r="H40" s="27" t="n">
        <x:f t="shared" si="1">IF(E40="","",E40-G40)</x:f>
        <x:v>-8.330000000000002</x:v>
      </x:c>
      <x:c r="I40" t="str">
        <x:f t="shared" si="2">IF(E40="","No Auction Value",IF(OR(H40&gt;=8,J40&gt;=15),"🔥 STEAL",IF(OR(H40&gt;=4,J40&gt;=7),"✅ VALUE",IF(OR(H40&gt;=1.5,J40&gt;=3),"👍 SLIGHT VALUE",IF(AND(H40&gt;-1.5,H40&lt;1.5,J40&gt;-3,J40&lt;3),"FAIR",IF(OR(H40&lt;=-5,J40&lt;=-10),"❌ AVOID","⚠️ REACH"))))))</x:f>
        <x:v>❌ AVOID</x:v>
      </x:c>
      <x:c r="J40" s="28" t="n">
        <x:f t="shared" si="3">IF(F40="","",A40-F40)</x:f>
        <x:v>-9</x:v>
      </x:c>
    </x:row>
    <x:row r="41">
      <x:c r="A41">
        <x:v>40</x:v>
      </x:c>
      <x:c r="B41" t="s">
        <x:v>125</x:v>
      </x:c>
      <x:c r="C41" t="s">
        <x:v>126</x:v>
      </x:c>
      <x:c r="D41" t="s">
        <x:v>9</x:v>
      </x:c>
      <x:c r="E41" s="20">
        <x:v>25</x:v>
      </x:c>
      <x:c r="F41">
        <x:v>35</x:v>
      </x:c>
      <x:c r="G41" s="27" t="n">
        <x:f t="shared" si="0">MAX(0,42.71-(0.42*A41))</x:f>
        <x:v>25.91</x:v>
      </x:c>
      <x:c r="H41" s="27" t="n">
        <x:f t="shared" si="1">IF(E41="","",E41-G41)</x:f>
        <x:v>-0.9100000000000001</x:v>
      </x:c>
      <x:c r="I41" t="str">
        <x:f t="shared" si="2">IF(E41="","No Auction Value",IF(OR(H41&gt;=8,J41&gt;=15),"🔥 STEAL",IF(OR(H41&gt;=4,J41&gt;=7),"✅ VALUE",IF(OR(H41&gt;=1.5,J41&gt;=3),"👍 SLIGHT VALUE",IF(AND(H41&gt;-1.5,H41&lt;1.5,J41&gt;-3,J41&lt;3),"FAIR",IF(OR(H41&lt;=-5,J41&lt;=-10),"❌ AVOID","⚠️ REACH"))))))</x:f>
        <x:v>👍 SLIGHT VALUE</x:v>
      </x:c>
      <x:c r="J41" s="28" t="n">
        <x:f t="shared" si="3">IF(F41="","",A41-F41)</x:f>
        <x:v>5</x:v>
      </x:c>
    </x:row>
    <x:row r="42">
      <x:c r="A42">
        <x:v>41</x:v>
      </x:c>
      <x:c r="B42" t="s">
        <x:v>127</x:v>
      </x:c>
      <x:c r="C42" t="s">
        <x:v>128</x:v>
      </x:c>
      <x:c r="D42" t="s">
        <x:v>65</x:v>
      </x:c>
      <x:c r="E42" s="20">
        <x:v>19</x:v>
      </x:c>
      <x:c r="F42">
        <x:v>47</x:v>
      </x:c>
      <x:c r="G42" s="27" t="n">
        <x:f t="shared" si="0">MAX(0,42.71-(0.42*A42))</x:f>
        <x:v>25.490000000000002</x:v>
      </x:c>
      <x:c r="H42" s="27" t="n">
        <x:f t="shared" si="1">IF(E42="","",E42-G42)</x:f>
        <x:v>-6.490000000000002</x:v>
      </x:c>
      <x:c r="I42" t="str">
        <x:f t="shared" si="2">IF(E42="","No Auction Value",IF(OR(H42&gt;=8,J42&gt;=15),"🔥 STEAL",IF(OR(H42&gt;=4,J42&gt;=7),"✅ VALUE",IF(OR(H42&gt;=1.5,J42&gt;=3),"👍 SLIGHT VALUE",IF(AND(H42&gt;-1.5,H42&lt;1.5,J42&gt;-3,J42&lt;3),"FAIR",IF(OR(H42&lt;=-5,J42&lt;=-10),"❌ AVOID","⚠️ REACH"))))))</x:f>
        <x:v>❌ AVOID</x:v>
      </x:c>
      <x:c r="J42" s="28" t="n">
        <x:f t="shared" si="3">IF(F42="","",A42-F42)</x:f>
        <x:v>-6</x:v>
      </x:c>
    </x:row>
    <x:row r="43">
      <x:c r="A43">
        <x:v>42</x:v>
      </x:c>
      <x:c r="B43" t="s">
        <x:v>129</x:v>
      </x:c>
      <x:c r="C43" t="s">
        <x:v>130</x:v>
      </x:c>
      <x:c r="D43" t="s">
        <x:v>14</x:v>
      </x:c>
      <x:c r="E43" s="20">
        <x:v>22</x:v>
      </x:c>
      <x:c r="F43">
        <x:v>40</x:v>
      </x:c>
      <x:c r="G43" s="27" t="n">
        <x:f t="shared" si="0">MAX(0,42.71-(0.42*A43))</x:f>
        <x:v>25.07</x:v>
      </x:c>
      <x:c r="H43" s="27" t="n">
        <x:f t="shared" si="1">IF(E43="","",E43-G43)</x:f>
        <x:v>-3.0700000000000003</x:v>
      </x:c>
      <x:c r="I43" t="str">
        <x:f t="shared" si="2">IF(E43="","No Auction Value",IF(OR(H43&gt;=8,J43&gt;=15),"🔥 STEAL",IF(OR(H43&gt;=4,J43&gt;=7),"✅ VALUE",IF(OR(H43&gt;=1.5,J43&gt;=3),"👍 SLIGHT VALUE",IF(AND(H43&gt;-1.5,H43&lt;1.5,J43&gt;-3,J43&lt;3),"FAIR",IF(OR(H43&lt;=-5,J43&lt;=-10),"❌ AVOID","⚠️ REACH"))))))</x:f>
        <x:v>⚠️ REACH</x:v>
      </x:c>
      <x:c r="J43" s="28" t="n">
        <x:f t="shared" si="3">IF(F43="","",A43-F43)</x:f>
        <x:v>2</x:v>
      </x:c>
    </x:row>
    <x:row r="44">
      <x:c r="A44">
        <x:v>43</x:v>
      </x:c>
      <x:c r="B44" t="s">
        <x:v>131</x:v>
      </x:c>
      <x:c r="C44" t="s">
        <x:v>132</x:v>
      </x:c>
      <x:c r="D44" t="s">
        <x:v>14</x:v>
      </x:c>
      <x:c r="E44" s="20">
        <x:v>17</x:v>
      </x:c>
      <x:c r="F44">
        <x:v>50</x:v>
      </x:c>
      <x:c r="G44" s="27" t="n">
        <x:f t="shared" si="0">MAX(0,42.71-(0.42*A44))</x:f>
        <x:v>24.650000000000002</x:v>
      </x:c>
      <x:c r="H44" s="27" t="n">
        <x:f t="shared" si="1">IF(E44="","",E44-G44)</x:f>
        <x:v>-7.650000000000002</x:v>
      </x:c>
      <x:c r="I44" t="str">
        <x:f t="shared" si="2">IF(E44="","No Auction Value",IF(OR(H44&gt;=8,J44&gt;=15),"🔥 STEAL",IF(OR(H44&gt;=4,J44&gt;=7),"✅ VALUE",IF(OR(H44&gt;=1.5,J44&gt;=3),"👍 SLIGHT VALUE",IF(AND(H44&gt;-1.5,H44&lt;1.5,J44&gt;-3,J44&lt;3),"FAIR",IF(OR(H44&lt;=-5,J44&lt;=-10),"❌ AVOID","⚠️ REACH"))))))</x:f>
        <x:v>❌ AVOID</x:v>
      </x:c>
      <x:c r="J44" s="28" t="n">
        <x:f t="shared" si="3">IF(F44="","",A44-F44)</x:f>
        <x:v>-7</x:v>
      </x:c>
    </x:row>
    <x:row r="45">
      <x:c r="A45">
        <x:v>44</x:v>
      </x:c>
      <x:c r="B45" t="s">
        <x:v>133</x:v>
      </x:c>
      <x:c r="C45" t="s">
        <x:v>134</x:v>
      </x:c>
      <x:c r="D45" t="s">
        <x:v>14</x:v>
      </x:c>
      <x:c r="E45" s="20">
        <x:v>17</x:v>
      </x:c>
      <x:c r="F45">
        <x:v>50</x:v>
      </x:c>
      <x:c r="G45" s="27" t="n">
        <x:f t="shared" si="0">MAX(0,42.71-(0.42*A45))</x:f>
        <x:v>24.23</x:v>
      </x:c>
      <x:c r="H45" s="27" t="n">
        <x:f t="shared" si="1">IF(E45="","",E45-G45)</x:f>
        <x:v>-7.23</x:v>
      </x:c>
      <x:c r="I45" t="str">
        <x:f t="shared" si="2">IF(E45="","No Auction Value",IF(OR(H45&gt;=8,J45&gt;=15),"🔥 STEAL",IF(OR(H45&gt;=4,J45&gt;=7),"✅ VALUE",IF(OR(H45&gt;=1.5,J45&gt;=3),"👍 SLIGHT VALUE",IF(AND(H45&gt;-1.5,H45&lt;1.5,J45&gt;-3,J45&lt;3),"FAIR",IF(OR(H45&lt;=-5,J45&lt;=-10),"❌ AVOID","⚠️ REACH"))))))</x:f>
        <x:v>❌ AVOID</x:v>
      </x:c>
      <x:c r="J45" s="28" t="n">
        <x:f t="shared" si="3">IF(F45="","",A45-F45)</x:f>
        <x:v>-6</x:v>
      </x:c>
    </x:row>
    <x:row r="46">
      <x:c r="A46">
        <x:v>45</x:v>
      </x:c>
      <x:c r="B46" t="s">
        <x:v>135</x:v>
      </x:c>
      <x:c r="C46" t="s">
        <x:v>136</x:v>
      </x:c>
      <x:c r="D46" t="s">
        <x:v>9</x:v>
      </x:c>
      <x:c r="E46" s="20">
        <x:v>22</x:v>
      </x:c>
      <x:c r="F46">
        <x:v>40</x:v>
      </x:c>
      <x:c r="G46" s="27" t="n">
        <x:f t="shared" si="0">MAX(0,42.71-(0.42*A46))</x:f>
        <x:v>23.810000000000002</x:v>
      </x:c>
      <x:c r="H46" s="27" t="n">
        <x:f t="shared" si="1">IF(E46="","",E46-G46)</x:f>
        <x:v>-1.8100000000000023</x:v>
      </x:c>
      <x:c r="I46" t="str">
        <x:f t="shared" si="2">IF(E46="","No Auction Value",IF(OR(H46&gt;=8,J46&gt;=15),"🔥 STEAL",IF(OR(H46&gt;=4,J46&gt;=7),"✅ VALUE",IF(OR(H46&gt;=1.5,J46&gt;=3),"👍 SLIGHT VALUE",IF(AND(H46&gt;-1.5,H46&lt;1.5,J46&gt;-3,J46&lt;3),"FAIR",IF(OR(H46&lt;=-5,J46&lt;=-10),"❌ AVOID","⚠️ REACH"))))))</x:f>
        <x:v>👍 SLIGHT VALUE</x:v>
      </x:c>
      <x:c r="J46" s="28" t="n">
        <x:f t="shared" si="3">IF(F46="","",A46-F46)</x:f>
        <x:v>5</x:v>
      </x:c>
    </x:row>
    <x:row r="47">
      <x:c r="A47">
        <x:v>46</x:v>
      </x:c>
      <x:c r="B47" t="s">
        <x:v>137</x:v>
      </x:c>
      <x:c r="C47" t="s">
        <x:v>138</x:v>
      </x:c>
      <x:c r="D47" t="s">
        <x:v>9</x:v>
      </x:c>
      <x:c r="E47" s="20">
        <x:v>25</x:v>
      </x:c>
      <x:c r="F47">
        <x:v>35</x:v>
      </x:c>
      <x:c r="G47" s="27" t="n">
        <x:f t="shared" si="0">MAX(0,42.71-(0.42*A47))</x:f>
        <x:v>23.39</x:v>
      </x:c>
      <x:c r="H47" s="27" t="n">
        <x:f t="shared" si="1">IF(E47="","",E47-G47)</x:f>
        <x:v>1.6099999999999994</x:v>
      </x:c>
      <x:c r="I47" t="str">
        <x:f t="shared" si="2">IF(E47="","No Auction Value",IF(OR(H47&gt;=8,J47&gt;=15),"🔥 STEAL",IF(OR(H47&gt;=4,J47&gt;=7),"✅ VALUE",IF(OR(H47&gt;=1.5,J47&gt;=3),"👍 SLIGHT VALUE",IF(AND(H47&gt;-1.5,H47&lt;1.5,J47&gt;-3,J47&lt;3),"FAIR",IF(OR(H47&lt;=-5,J47&lt;=-10),"❌ AVOID","⚠️ REACH"))))))</x:f>
        <x:v>✅ VALUE</x:v>
      </x:c>
      <x:c r="J47" s="28" t="n">
        <x:f t="shared" si="3">IF(F47="","",A47-F47)</x:f>
        <x:v>11</x:v>
      </x:c>
    </x:row>
    <x:row r="48">
      <x:c r="A48">
        <x:v>47</x:v>
      </x:c>
      <x:c r="B48" t="s">
        <x:v>139</x:v>
      </x:c>
      <x:c r="C48" t="s">
        <x:v>140</x:v>
      </x:c>
      <x:c r="D48" t="s">
        <x:v>14</x:v>
      </x:c>
      <x:c r="E48" s="20">
        <x:v>25</x:v>
      </x:c>
      <x:c r="F48">
        <x:v>35</x:v>
      </x:c>
      <x:c r="G48" s="27" t="n">
        <x:f t="shared" si="0">MAX(0,42.71-(0.42*A48))</x:f>
        <x:v>22.970000000000002</x:v>
      </x:c>
      <x:c r="H48" s="27" t="n">
        <x:f t="shared" si="1">IF(E48="","",E48-G48)</x:f>
        <x:v>2.0299999999999976</x:v>
      </x:c>
      <x:c r="I48" t="str">
        <x:f t="shared" si="2">IF(E48="","No Auction Value",IF(OR(H48&gt;=8,J48&gt;=15),"🔥 STEAL",IF(OR(H48&gt;=4,J48&gt;=7),"✅ VALUE",IF(OR(H48&gt;=1.5,J48&gt;=3),"👍 SLIGHT VALUE",IF(AND(H48&gt;-1.5,H48&lt;1.5,J48&gt;-3,J48&lt;3),"FAIR",IF(OR(H48&lt;=-5,J48&lt;=-10),"❌ AVOID","⚠️ REACH"))))))</x:f>
        <x:v>✅ VALUE</x:v>
      </x:c>
      <x:c r="J48" s="28" t="n">
        <x:f t="shared" si="3">IF(F48="","",A48-F48)</x:f>
        <x:v>12</x:v>
      </x:c>
    </x:row>
    <x:row r="49">
      <x:c r="A49">
        <x:v>48</x:v>
      </x:c>
      <x:c r="B49" t="s">
        <x:v>141</x:v>
      </x:c>
      <x:c r="C49" t="s">
        <x:v>142</x:v>
      </x:c>
      <x:c r="D49" t="s">
        <x:v>14</x:v>
      </x:c>
      <x:c r="E49" s="20">
        <x:v>20</x:v>
      </x:c>
      <x:c r="F49">
        <x:v>44</x:v>
      </x:c>
      <x:c r="G49" s="27" t="n">
        <x:f t="shared" si="0">MAX(0,42.71-(0.42*A49))</x:f>
        <x:v>22.55</x:v>
      </x:c>
      <x:c r="H49" s="27" t="n">
        <x:f t="shared" si="1">IF(E49="","",E49-G49)</x:f>
        <x:v>-2.5500000000000007</x:v>
      </x:c>
      <x:c r="I49" t="str">
        <x:f t="shared" si="2">IF(E49="","No Auction Value",IF(OR(H49&gt;=8,J49&gt;=15),"🔥 STEAL",IF(OR(H49&gt;=4,J49&gt;=7),"✅ VALUE",IF(OR(H49&gt;=1.5,J49&gt;=3),"👍 SLIGHT VALUE",IF(AND(H49&gt;-1.5,H49&lt;1.5,J49&gt;-3,J49&lt;3),"FAIR",IF(OR(H49&lt;=-5,J49&lt;=-10),"❌ AVOID","⚠️ REACH"))))))</x:f>
        <x:v>👍 SLIGHT VALUE</x:v>
      </x:c>
      <x:c r="J49" s="28" t="n">
        <x:f t="shared" si="3">IF(F49="","",A49-F49)</x:f>
        <x:v>4</x:v>
      </x:c>
    </x:row>
    <x:row r="50">
      <x:c r="A50">
        <x:v>49</x:v>
      </x:c>
      <x:c r="B50" t="s">
        <x:v>143</x:v>
      </x:c>
      <x:c r="C50" t="s">
        <x:v>144</x:v>
      </x:c>
      <x:c r="D50" t="s">
        <x:v>14</x:v>
      </x:c>
      <x:c r="E50" s="20">
        <x:v>17</x:v>
      </x:c>
      <x:c r="F50">
        <x:v>50</x:v>
      </x:c>
      <x:c r="G50" s="27" t="n">
        <x:f t="shared" si="0">MAX(0,42.71-(0.42*A50))</x:f>
        <x:v>22.130000000000003</x:v>
      </x:c>
      <x:c r="H50" s="27" t="n">
        <x:f t="shared" si="1">IF(E50="","",E50-G50)</x:f>
        <x:v>-5.130000000000003</x:v>
      </x:c>
      <x:c r="I50" t="str">
        <x:f t="shared" si="2">IF(E50="","No Auction Value",IF(OR(H50&gt;=8,J50&gt;=15),"🔥 STEAL",IF(OR(H50&gt;=4,J50&gt;=7),"✅ VALUE",IF(OR(H50&gt;=1.5,J50&gt;=3),"👍 SLIGHT VALUE",IF(AND(H50&gt;-1.5,H50&lt;1.5,J50&gt;-3,J50&lt;3),"FAIR",IF(OR(H50&lt;=-5,J50&lt;=-10),"❌ AVOID","⚠️ REACH"))))))</x:f>
        <x:v>❌ AVOID</x:v>
      </x:c>
      <x:c r="J50" s="28" t="n">
        <x:f t="shared" si="3">IF(F50="","",A50-F50)</x:f>
        <x:v>-1</x:v>
      </x:c>
    </x:row>
    <x:row r="51">
      <x:c r="A51">
        <x:v>50</x:v>
      </x:c>
      <x:c r="B51" t="s">
        <x:v>145</x:v>
      </x:c>
      <x:c r="C51" t="s">
        <x:v>146</x:v>
      </x:c>
      <x:c r="D51" t="s">
        <x:v>9</x:v>
      </x:c>
      <x:c r="E51" s="20">
        <x:v>15</x:v>
      </x:c>
      <x:c r="F51">
        <x:v>54</x:v>
      </x:c>
      <x:c r="G51" s="27" t="n">
        <x:f t="shared" si="0">MAX(0,42.71-(0.42*A51))</x:f>
        <x:v>21.71</x:v>
      </x:c>
      <x:c r="H51" s="27" t="n">
        <x:f t="shared" si="1">IF(E51="","",E51-G51)</x:f>
        <x:v>-6.710000000000001</x:v>
      </x:c>
      <x:c r="I51" t="str">
        <x:f t="shared" si="2">IF(E51="","No Auction Value",IF(OR(H51&gt;=8,J51&gt;=15),"🔥 STEAL",IF(OR(H51&gt;=4,J51&gt;=7),"✅ VALUE",IF(OR(H51&gt;=1.5,J51&gt;=3),"👍 SLIGHT VALUE",IF(AND(H51&gt;-1.5,H51&lt;1.5,J51&gt;-3,J51&lt;3),"FAIR",IF(OR(H51&lt;=-5,J51&lt;=-10),"❌ AVOID","⚠️ REACH"))))))</x:f>
        <x:v>❌ AVOID</x:v>
      </x:c>
      <x:c r="J51" s="28" t="n">
        <x:f t="shared" si="3">IF(F51="","",A51-F51)</x:f>
        <x:v>-4</x:v>
      </x:c>
    </x:row>
    <x:row r="52">
      <x:c r="A52">
        <x:v>51</x:v>
      </x:c>
      <x:c r="B52" t="s">
        <x:v>147</x:v>
      </x:c>
      <x:c r="C52" t="s">
        <x:v>148</x:v>
      </x:c>
      <x:c r="D52" t="s">
        <x:v>14</x:v>
      </x:c>
      <x:c r="E52" s="20">
        <x:v>13</x:v>
      </x:c>
      <x:c r="F52">
        <x:v>60</x:v>
      </x:c>
      <x:c r="G52" s="27" t="n">
        <x:f t="shared" si="0">MAX(0,42.71-(0.42*A52))</x:f>
        <x:v>21.290000000000003</x:v>
      </x:c>
      <x:c r="H52" s="27" t="n">
        <x:f t="shared" si="1">IF(E52="","",E52-G52)</x:f>
        <x:v>-8.290000000000003</x:v>
      </x:c>
      <x:c r="I52" t="str">
        <x:f t="shared" si="2">IF(E52="","No Auction Value",IF(OR(H52&gt;=8,J52&gt;=15),"🔥 STEAL",IF(OR(H52&gt;=4,J52&gt;=7),"✅ VALUE",IF(OR(H52&gt;=1.5,J52&gt;=3),"👍 SLIGHT VALUE",IF(AND(H52&gt;-1.5,H52&lt;1.5,J52&gt;-3,J52&lt;3),"FAIR",IF(OR(H52&lt;=-5,J52&lt;=-10),"❌ AVOID","⚠️ REACH"))))))</x:f>
        <x:v>❌ AVOID</x:v>
      </x:c>
      <x:c r="J52" s="28" t="n">
        <x:f t="shared" si="3">IF(F52="","",A52-F52)</x:f>
        <x:v>-9</x:v>
      </x:c>
    </x:row>
    <x:row r="53">
      <x:c r="A53">
        <x:v>52</x:v>
      </x:c>
      <x:c r="B53" t="s">
        <x:v>149</x:v>
      </x:c>
      <x:c r="C53" t="s">
        <x:v>150</x:v>
      </x:c>
      <x:c r="D53" t="s">
        <x:v>9</x:v>
      </x:c>
      <x:c r="E53" s="20">
        <x:v>21</x:v>
      </x:c>
      <x:c r="F53">
        <x:v>42</x:v>
      </x:c>
      <x:c r="G53" s="27" t="n">
        <x:f t="shared" si="0">MAX(0,42.71-(0.42*A53))</x:f>
        <x:v>20.87</x:v>
      </x:c>
      <x:c r="H53" s="27" t="n">
        <x:f t="shared" si="1">IF(E53="","",E53-G53)</x:f>
        <x:v>0.129999999999999</x:v>
      </x:c>
      <x:c r="I53" t="str">
        <x:f t="shared" si="2">IF(E53="","No Auction Value",IF(OR(H53&gt;=8,J53&gt;=15),"🔥 STEAL",IF(OR(H53&gt;=4,J53&gt;=7),"✅ VALUE",IF(OR(H53&gt;=1.5,J53&gt;=3),"👍 SLIGHT VALUE",IF(AND(H53&gt;-1.5,H53&lt;1.5,J53&gt;-3,J53&lt;3),"FAIR",IF(OR(H53&lt;=-5,J53&lt;=-10),"❌ AVOID","⚠️ REACH"))))))</x:f>
        <x:v>✅ VALUE</x:v>
      </x:c>
      <x:c r="J53" s="28" t="n">
        <x:f t="shared" si="3">IF(F53="","",A53-F53)</x:f>
        <x:v>10</x:v>
      </x:c>
    </x:row>
    <x:row r="54">
      <x:c r="A54">
        <x:v>53</x:v>
      </x:c>
      <x:c r="B54" t="s">
        <x:v>151</x:v>
      </x:c>
      <x:c r="C54" t="s">
        <x:v>152</x:v>
      </x:c>
      <x:c r="D54" t="s">
        <x:v>9</x:v>
      </x:c>
      <x:c r="E54" s="20">
        <x:v>2</x:v>
      </x:c>
      <x:c r="F54">
        <x:v>136</x:v>
      </x:c>
      <x:c r="G54" s="27" t="n">
        <x:f t="shared" si="0">MAX(0,42.71-(0.42*A54))</x:f>
        <x:v>20.450000000000003</x:v>
      </x:c>
      <x:c r="H54" s="27" t="n">
        <x:f t="shared" si="1">IF(E54="","",E54-G54)</x:f>
        <x:v>-18.450000000000003</x:v>
      </x:c>
      <x:c r="I54" t="str">
        <x:f t="shared" si="2">IF(E54="","No Auction Value",IF(OR(H54&gt;=8,J54&gt;=15),"🔥 STEAL",IF(OR(H54&gt;=4,J54&gt;=7),"✅ VALUE",IF(OR(H54&gt;=1.5,J54&gt;=3),"👍 SLIGHT VALUE",IF(AND(H54&gt;-1.5,H54&lt;1.5,J54&gt;-3,J54&lt;3),"FAIR",IF(OR(H54&lt;=-5,J54&lt;=-10),"❌ AVOID","⚠️ REACH"))))))</x:f>
        <x:v>❌ AVOID</x:v>
      </x:c>
      <x:c r="J54" s="28" t="n">
        <x:f t="shared" si="3">IF(F54="","",A54-F54)</x:f>
        <x:v>-83</x:v>
      </x:c>
    </x:row>
    <x:row r="55">
      <x:c r="A55">
        <x:v>54</x:v>
      </x:c>
      <x:c r="B55" t="s">
        <x:v>153</x:v>
      </x:c>
      <x:c r="C55" t="s">
        <x:v>154</x:v>
      </x:c>
      <x:c r="D55" t="s">
        <x:v>116</x:v>
      </x:c>
      <x:c r="E55" s="20">
        <x:v>14</x:v>
      </x:c>
      <x:c r="F55">
        <x:v>57</x:v>
      </x:c>
      <x:c r="G55" s="27" t="n">
        <x:f t="shared" si="0">MAX(0,42.71-(0.42*A55))</x:f>
        <x:v>20.03</x:v>
      </x:c>
      <x:c r="H55" s="27" t="n">
        <x:f t="shared" si="1">IF(E55="","",E55-G55)</x:f>
        <x:v>-6.030000000000001</x:v>
      </x:c>
      <x:c r="I55" t="str">
        <x:f t="shared" si="2">IF(E55="","No Auction Value",IF(OR(H55&gt;=8,J55&gt;=15),"🔥 STEAL",IF(OR(H55&gt;=4,J55&gt;=7),"✅ VALUE",IF(OR(H55&gt;=1.5,J55&gt;=3),"👍 SLIGHT VALUE",IF(AND(H55&gt;-1.5,H55&lt;1.5,J55&gt;-3,J55&lt;3),"FAIR",IF(OR(H55&lt;=-5,J55&lt;=-10),"❌ AVOID","⚠️ REACH"))))))</x:f>
        <x:v>❌ AVOID</x:v>
      </x:c>
      <x:c r="J55" s="28" t="n">
        <x:f t="shared" si="3">IF(F55="","",A55-F55)</x:f>
        <x:v>-3</x:v>
      </x:c>
    </x:row>
    <x:row r="56">
      <x:c r="A56">
        <x:v>55</x:v>
      </x:c>
      <x:c r="B56" t="s">
        <x:v>155</x:v>
      </x:c>
      <x:c r="C56" t="s">
        <x:v>156</x:v>
      </x:c>
      <x:c r="D56" t="s">
        <x:v>9</x:v>
      </x:c>
      <x:c r="E56" s="20">
        <x:v>5</x:v>
      </x:c>
      <x:c r="F56">
        <x:v>108</x:v>
      </x:c>
      <x:c r="G56" s="27" t="n">
        <x:f t="shared" si="0">MAX(0,42.71-(0.42*A56))</x:f>
        <x:v>19.610000000000003</x:v>
      </x:c>
      <x:c r="H56" s="27" t="n">
        <x:f t="shared" si="1">IF(E56="","",E56-G56)</x:f>
        <x:v>-14.610000000000003</x:v>
      </x:c>
      <x:c r="I56" t="str">
        <x:f t="shared" si="2">IF(E56="","No Auction Value",IF(OR(H56&gt;=8,J56&gt;=15),"🔥 STEAL",IF(OR(H56&gt;=4,J56&gt;=7),"✅ VALUE",IF(OR(H56&gt;=1.5,J56&gt;=3),"👍 SLIGHT VALUE",IF(AND(H56&gt;-1.5,H56&lt;1.5,J56&gt;-3,J56&lt;3),"FAIR",IF(OR(H56&lt;=-5,J56&lt;=-10),"❌ AVOID","⚠️ REACH"))))))</x:f>
        <x:v>❌ AVOID</x:v>
      </x:c>
      <x:c r="J56" s="28" t="n">
        <x:f t="shared" si="3">IF(F56="","",A56-F56)</x:f>
        <x:v>-53</x:v>
      </x:c>
    </x:row>
    <x:row r="57">
      <x:c r="A57">
        <x:v>56</x:v>
      </x:c>
      <x:c r="B57" t="s">
        <x:v>157</x:v>
      </x:c>
      <x:c r="C57" t="s">
        <x:v>158</x:v>
      </x:c>
      <x:c r="D57" t="s">
        <x:v>14</x:v>
      </x:c>
      <x:c r="E57" s="20">
        <x:v>9</x:v>
      </x:c>
      <x:c r="F57">
        <x:v>81</x:v>
      </x:c>
      <x:c r="G57" s="27" t="n">
        <x:f t="shared" si="0">MAX(0,42.71-(0.42*A57))</x:f>
        <x:v>19.19</x:v>
      </x:c>
      <x:c r="H57" s="27" t="n">
        <x:f t="shared" si="1">IF(E57="","",E57-G57)</x:f>
        <x:v>-10.190000000000001</x:v>
      </x:c>
      <x:c r="I57" t="str">
        <x:f t="shared" si="2">IF(E57="","No Auction Value",IF(OR(H57&gt;=8,J57&gt;=15),"🔥 STEAL",IF(OR(H57&gt;=4,J57&gt;=7),"✅ VALUE",IF(OR(H57&gt;=1.5,J57&gt;=3),"👍 SLIGHT VALUE",IF(AND(H57&gt;-1.5,H57&lt;1.5,J57&gt;-3,J57&lt;3),"FAIR",IF(OR(H57&lt;=-5,J57&lt;=-10),"❌ AVOID","⚠️ REACH"))))))</x:f>
        <x:v>❌ AVOID</x:v>
      </x:c>
      <x:c r="J57" s="28" t="n">
        <x:f t="shared" si="3">IF(F57="","",A57-F57)</x:f>
        <x:v>-25</x:v>
      </x:c>
    </x:row>
    <x:row r="58">
      <x:c r="A58">
        <x:v>57</x:v>
      </x:c>
      <x:c r="B58" t="s">
        <x:v>159</x:v>
      </x:c>
      <x:c r="C58" t="s">
        <x:v>160</x:v>
      </x:c>
      <x:c r="D58" t="s">
        <x:v>9</x:v>
      </x:c>
      <x:c r="E58" s="20">
        <x:v>18</x:v>
      </x:c>
      <x:c r="F58">
        <x:v>48</x:v>
      </x:c>
      <x:c r="G58" s="27" t="n">
        <x:f t="shared" si="0">MAX(0,42.71-(0.42*A58))</x:f>
        <x:v>18.770000000000003</x:v>
      </x:c>
      <x:c r="H58" s="27" t="n">
        <x:f t="shared" si="1">IF(E58="","",E58-G58)</x:f>
        <x:v>-0.7700000000000031</x:v>
      </x:c>
      <x:c r="I58" t="str">
        <x:f t="shared" si="2">IF(E58="","No Auction Value",IF(OR(H58&gt;=8,J58&gt;=15),"🔥 STEAL",IF(OR(H58&gt;=4,J58&gt;=7),"✅ VALUE",IF(OR(H58&gt;=1.5,J58&gt;=3),"👍 SLIGHT VALUE",IF(AND(H58&gt;-1.5,H58&lt;1.5,J58&gt;-3,J58&lt;3),"FAIR",IF(OR(H58&lt;=-5,J58&lt;=-10),"❌ AVOID","⚠️ REACH"))))))</x:f>
        <x:v>✅ VALUE</x:v>
      </x:c>
      <x:c r="J58" s="28" t="n">
        <x:f t="shared" si="3">IF(F58="","",A58-F58)</x:f>
        <x:v>9</x:v>
      </x:c>
    </x:row>
    <x:row r="59">
      <x:c r="A59">
        <x:v>58</x:v>
      </x:c>
      <x:c r="B59" t="s">
        <x:v>161</x:v>
      </x:c>
      <x:c r="C59" t="s">
        <x:v>162</x:v>
      </x:c>
      <x:c r="D59" t="s">
        <x:v>14</x:v>
      </x:c>
      <x:c r="E59" s="20">
        <x:v>13</x:v>
      </x:c>
      <x:c r="F59">
        <x:v>60</x:v>
      </x:c>
      <x:c r="G59" s="27" t="n">
        <x:f t="shared" si="0">MAX(0,42.71-(0.42*A59))</x:f>
        <x:v>18.35</x:v>
      </x:c>
      <x:c r="H59" s="27" t="n">
        <x:f t="shared" si="1">IF(E59="","",E59-G59)</x:f>
        <x:v>-5.350000000000001</x:v>
      </x:c>
      <x:c r="I59" t="str">
        <x:f t="shared" si="2">IF(E59="","No Auction Value",IF(OR(H59&gt;=8,J59&gt;=15),"🔥 STEAL",IF(OR(H59&gt;=4,J59&gt;=7),"✅ VALUE",IF(OR(H59&gt;=1.5,J59&gt;=3),"👍 SLIGHT VALUE",IF(AND(H59&gt;-1.5,H59&lt;1.5,J59&gt;-3,J59&lt;3),"FAIR",IF(OR(H59&lt;=-5,J59&lt;=-10),"❌ AVOID","⚠️ REACH"))))))</x:f>
        <x:v>❌ AVOID</x:v>
      </x:c>
      <x:c r="J59" s="28" t="n">
        <x:f t="shared" si="3">IF(F59="","",A59-F59)</x:f>
        <x:v>-2</x:v>
      </x:c>
    </x:row>
    <x:row r="60">
      <x:c r="A60">
        <x:v>59</x:v>
      </x:c>
      <x:c r="B60" t="s">
        <x:v>163</x:v>
      </x:c>
      <x:c r="C60" t="s">
        <x:v>164</x:v>
      </x:c>
      <x:c r="D60" t="s">
        <x:v>9</x:v>
      </x:c>
      <x:c r="E60" s="20">
        <x:v>12</x:v>
      </x:c>
      <x:c r="F60">
        <x:v>67</x:v>
      </x:c>
      <x:c r="G60" s="27" t="n">
        <x:f t="shared" si="0">MAX(0,42.71-(0.42*A60))</x:f>
        <x:v>17.930000000000003</x:v>
      </x:c>
      <x:c r="H60" s="27" t="n">
        <x:f t="shared" si="1">IF(E60="","",E60-G60)</x:f>
        <x:v>-5.930000000000003</x:v>
      </x:c>
      <x:c r="I60" t="str">
        <x:f t="shared" si="2">IF(E60="","No Auction Value",IF(OR(H60&gt;=8,J60&gt;=15),"🔥 STEAL",IF(OR(H60&gt;=4,J60&gt;=7),"✅ VALUE",IF(OR(H60&gt;=1.5,J60&gt;=3),"👍 SLIGHT VALUE",IF(AND(H60&gt;-1.5,H60&lt;1.5,J60&gt;-3,J60&lt;3),"FAIR",IF(OR(H60&lt;=-5,J60&lt;=-10),"❌ AVOID","⚠️ REACH"))))))</x:f>
        <x:v>❌ AVOID</x:v>
      </x:c>
      <x:c r="J60" s="28" t="n">
        <x:f t="shared" si="3">IF(F60="","",A60-F60)</x:f>
        <x:v>-8</x:v>
      </x:c>
    </x:row>
    <x:row r="61">
      <x:c r="A61">
        <x:v>60</x:v>
      </x:c>
      <x:c r="B61" t="s">
        <x:v>165</x:v>
      </x:c>
      <x:c r="C61" t="s">
        <x:v>166</x:v>
      </x:c>
      <x:c r="D61" t="s">
        <x:v>116</x:v>
      </x:c>
      <x:c r="E61" s="20">
        <x:v>9</x:v>
      </x:c>
      <x:c r="F61">
        <x:v>81</x:v>
      </x:c>
      <x:c r="G61" s="27" t="n">
        <x:f t="shared" si="0">MAX(0,42.71-(0.42*A61))</x:f>
        <x:v>17.51</x:v>
      </x:c>
      <x:c r="H61" s="27" t="n">
        <x:f t="shared" si="1">IF(E61="","",E61-G61)</x:f>
        <x:v>-8.510000000000002</x:v>
      </x:c>
      <x:c r="I61" t="str">
        <x:f t="shared" si="2">IF(E61="","No Auction Value",IF(OR(H61&gt;=8,J61&gt;=15),"🔥 STEAL",IF(OR(H61&gt;=4,J61&gt;=7),"✅ VALUE",IF(OR(H61&gt;=1.5,J61&gt;=3),"👍 SLIGHT VALUE",IF(AND(H61&gt;-1.5,H61&lt;1.5,J61&gt;-3,J61&lt;3),"FAIR",IF(OR(H61&lt;=-5,J61&lt;=-10),"❌ AVOID","⚠️ REACH"))))))</x:f>
        <x:v>❌ AVOID</x:v>
      </x:c>
      <x:c r="J61" s="28" t="n">
        <x:f t="shared" si="3">IF(F61="","",A61-F61)</x:f>
        <x:v>-21</x:v>
      </x:c>
    </x:row>
    <x:row r="62">
      <x:c r="A62">
        <x:v>61</x:v>
      </x:c>
      <x:c r="B62" t="s">
        <x:v>167</x:v>
      </x:c>
      <x:c r="C62" t="s">
        <x:v>168</x:v>
      </x:c>
      <x:c r="D62" t="s">
        <x:v>65</x:v>
      </x:c>
      <x:c r="E62" s="20">
        <x:v>15</x:v>
      </x:c>
      <x:c r="F62">
        <x:v>54</x:v>
      </x:c>
      <x:c r="G62" s="27" t="n">
        <x:f t="shared" si="0">MAX(0,42.71-(0.42*A62))</x:f>
        <x:v>17.090000000000003</x:v>
      </x:c>
      <x:c r="H62" s="27" t="n">
        <x:f t="shared" si="1">IF(E62="","",E62-G62)</x:f>
        <x:v>-2.0900000000000034</x:v>
      </x:c>
      <x:c r="I62" t="str">
        <x:f t="shared" si="2">IF(E62="","No Auction Value",IF(OR(H62&gt;=8,J62&gt;=15),"🔥 STEAL",IF(OR(H62&gt;=4,J62&gt;=7),"✅ VALUE",IF(OR(H62&gt;=1.5,J62&gt;=3),"👍 SLIGHT VALUE",IF(AND(H62&gt;-1.5,H62&lt;1.5,J62&gt;-3,J62&lt;3),"FAIR",IF(OR(H62&lt;=-5,J62&lt;=-10),"❌ AVOID","⚠️ REACH"))))))</x:f>
        <x:v>✅ VALUE</x:v>
      </x:c>
      <x:c r="J62" s="28" t="n">
        <x:f t="shared" si="3">IF(F62="","",A62-F62)</x:f>
        <x:v>7</x:v>
      </x:c>
    </x:row>
    <x:row r="63">
      <x:c r="A63">
        <x:v>62</x:v>
      </x:c>
      <x:c r="B63" t="s">
        <x:v>169</x:v>
      </x:c>
      <x:c r="C63" t="s">
        <x:v>170</x:v>
      </x:c>
      <x:c r="D63" t="s">
        <x:v>9</x:v>
      </x:c>
      <x:c r="E63" s="20">
        <x:v>13</x:v>
      </x:c>
      <x:c r="F63">
        <x:v>60</x:v>
      </x:c>
      <x:c r="G63" s="27" t="n">
        <x:f t="shared" si="0">MAX(0,42.71-(0.42*A63))</x:f>
        <x:v>16.67</x:v>
      </x:c>
      <x:c r="H63" s="27" t="n">
        <x:f t="shared" si="1">IF(E63="","",E63-G63)</x:f>
        <x:v>-3.6700000000000017</x:v>
      </x:c>
      <x:c r="I63" t="str">
        <x:f t="shared" si="2">IF(E63="","No Auction Value",IF(OR(H63&gt;=8,J63&gt;=15),"🔥 STEAL",IF(OR(H63&gt;=4,J63&gt;=7),"✅ VALUE",IF(OR(H63&gt;=1.5,J63&gt;=3),"👍 SLIGHT VALUE",IF(AND(H63&gt;-1.5,H63&lt;1.5,J63&gt;-3,J63&lt;3),"FAIR",IF(OR(H63&lt;=-5,J63&lt;=-10),"❌ AVOID","⚠️ REACH"))))))</x:f>
        <x:v>⚠️ REACH</x:v>
      </x:c>
      <x:c r="J63" s="28" t="n">
        <x:f t="shared" si="3">IF(F63="","",A63-F63)</x:f>
        <x:v>2</x:v>
      </x:c>
    </x:row>
    <x:row r="64">
      <x:c r="A64">
        <x:v>63</x:v>
      </x:c>
      <x:c r="B64" t="s">
        <x:v>171</x:v>
      </x:c>
      <x:c r="C64" t="s">
        <x:v>172</x:v>
      </x:c>
      <x:c r="D64" t="s">
        <x:v>116</x:v>
      </x:c>
      <x:c r="E64" s="20">
        <x:v>13</x:v>
      </x:c>
      <x:c r="F64">
        <x:v>60</x:v>
      </x:c>
      <x:c r="G64" s="27" t="n">
        <x:f t="shared" si="0">MAX(0,42.71-(0.42*A64))</x:f>
        <x:v>16.250000000000004</x:v>
      </x:c>
      <x:c r="H64" s="27" t="n">
        <x:f t="shared" si="1">IF(E64="","",E64-G64)</x:f>
        <x:v>-3.2500000000000036</x:v>
      </x:c>
      <x:c r="I64" t="str">
        <x:f t="shared" si="2">IF(E64="","No Auction Value",IF(OR(H64&gt;=8,J64&gt;=15),"🔥 STEAL",IF(OR(H64&gt;=4,J64&gt;=7),"✅ VALUE",IF(OR(H64&gt;=1.5,J64&gt;=3),"👍 SLIGHT VALUE",IF(AND(H64&gt;-1.5,H64&lt;1.5,J64&gt;-3,J64&lt;3),"FAIR",IF(OR(H64&lt;=-5,J64&lt;=-10),"❌ AVOID","⚠️ REACH"))))))</x:f>
        <x:v>👍 SLIGHT VALUE</x:v>
      </x:c>
      <x:c r="J64" s="28" t="n">
        <x:f t="shared" si="3">IF(F64="","",A64-F64)</x:f>
        <x:v>3</x:v>
      </x:c>
    </x:row>
    <x:row r="65">
      <x:c r="A65">
        <x:v>64</x:v>
      </x:c>
      <x:c r="B65" t="s">
        <x:v>173</x:v>
      </x:c>
      <x:c r="C65" t="s">
        <x:v>174</x:v>
      </x:c>
      <x:c r="D65" t="s">
        <x:v>9</x:v>
      </x:c>
      <x:c r="E65" s="20">
        <x:v>20</x:v>
      </x:c>
      <x:c r="F65">
        <x:v>44</x:v>
      </x:c>
      <x:c r="G65" s="27" t="n">
        <x:f t="shared" si="0">MAX(0,42.71-(0.42*A65))</x:f>
        <x:v>15.830000000000002</x:v>
      </x:c>
      <x:c r="H65" s="27" t="n">
        <x:f t="shared" si="1">IF(E65="","",E65-G65)</x:f>
        <x:v>4.169999999999998</x:v>
      </x:c>
      <x:c r="I65" t="str">
        <x:f t="shared" si="2">IF(E65="","No Auction Value",IF(OR(H65&gt;=8,J65&gt;=15),"🔥 STEAL",IF(OR(H65&gt;=4,J65&gt;=7),"✅ VALUE",IF(OR(H65&gt;=1.5,J65&gt;=3),"👍 SLIGHT VALUE",IF(AND(H65&gt;-1.5,H65&lt;1.5,J65&gt;-3,J65&lt;3),"FAIR",IF(OR(H65&lt;=-5,J65&lt;=-10),"❌ AVOID","⚠️ REACH"))))))</x:f>
        <x:v>🔥 STEAL</x:v>
      </x:c>
      <x:c r="J65" s="28" t="n">
        <x:f t="shared" si="3">IF(F65="","",A65-F65)</x:f>
        <x:v>20</x:v>
      </x:c>
    </x:row>
    <x:row r="66">
      <x:c r="A66">
        <x:v>65</x:v>
      </x:c>
      <x:c r="B66" t="s">
        <x:v>175</x:v>
      </x:c>
      <x:c r="C66" t="s">
        <x:v>176</x:v>
      </x:c>
      <x:c r="D66" t="s">
        <x:v>116</x:v>
      </x:c>
      <x:c r="E66" s="20">
        <x:v>12</x:v>
      </x:c>
      <x:c r="F66">
        <x:v>67</x:v>
      </x:c>
      <x:c r="G66" s="27" t="n">
        <x:f t="shared" ref="G66:G129" si="4">MAX(0,42.71-(0.42*A66))</x:f>
        <x:v>15.41</x:v>
      </x:c>
      <x:c r="H66" s="27" t="n">
        <x:f t="shared" ref="H66:H129" si="5">IF(E66="","",E66-G66)</x:f>
        <x:v>-3.41</x:v>
      </x:c>
      <x:c r="I66" t="str">
        <x:f t="shared" ref="I66:I129" si="6">IF(E66="","No Auction Value",IF(OR(H66&gt;=8,J66&gt;=15),"🔥 STEAL",IF(OR(H66&gt;=4,J66&gt;=7),"✅ VALUE",IF(OR(H66&gt;=1.5,J66&gt;=3),"👍 SLIGHT VALUE",IF(AND(H66&gt;-1.5,H66&lt;1.5,J66&gt;-3,J66&lt;3),"FAIR",IF(OR(H66&lt;=-5,J66&lt;=-10),"❌ AVOID","⚠️ REACH"))))))</x:f>
        <x:v>⚠️ REACH</x:v>
      </x:c>
      <x:c r="J66" s="28" t="n">
        <x:f t="shared" ref="J66:J129" si="7">IF(F66="","",A66-F66)</x:f>
        <x:v>-2</x:v>
      </x:c>
    </x:row>
    <x:row r="67">
      <x:c r="A67">
        <x:v>66</x:v>
      </x:c>
      <x:c r="B67" t="s">
        <x:v>177</x:v>
      </x:c>
      <x:c r="C67" t="s">
        <x:v>178</x:v>
      </x:c>
      <x:c r="D67" t="s">
        <x:v>9</x:v>
      </x:c>
      <x:c r="E67" s="20">
        <x:v>13</x:v>
      </x:c>
      <x:c r="F67">
        <x:v>60</x:v>
      </x:c>
      <x:c r="G67" s="27" t="n">
        <x:f t="shared" si="4">MAX(0,42.71-(0.42*A67))</x:f>
        <x:v>14.990000000000002</x:v>
      </x:c>
      <x:c r="H67" s="27" t="n">
        <x:f t="shared" si="5">IF(E67="","",E67-G67)</x:f>
        <x:v>-1.990000000000002</x:v>
      </x:c>
      <x:c r="I67" t="str">
        <x:f t="shared" si="6">IF(E67="","No Auction Value",IF(OR(H67&gt;=8,J67&gt;=15),"🔥 STEAL",IF(OR(H67&gt;=4,J67&gt;=7),"✅ VALUE",IF(OR(H67&gt;=1.5,J67&gt;=3),"👍 SLIGHT VALUE",IF(AND(H67&gt;-1.5,H67&lt;1.5,J67&gt;-3,J67&lt;3),"FAIR",IF(OR(H67&lt;=-5,J67&lt;=-10),"❌ AVOID","⚠️ REACH"))))))</x:f>
        <x:v>👍 SLIGHT VALUE</x:v>
      </x:c>
      <x:c r="J67" s="28" t="n">
        <x:f t="shared" si="7">IF(F67="","",A67-F67)</x:f>
        <x:v>6</x:v>
      </x:c>
    </x:row>
    <x:row r="68">
      <x:c r="A68">
        <x:v>67</x:v>
      </x:c>
      <x:c r="B68" t="s">
        <x:v>179</x:v>
      </x:c>
      <x:c r="C68" t="s">
        <x:v>180</x:v>
      </x:c>
      <x:c r="D68" t="s">
        <x:v>14</x:v>
      </x:c>
      <x:c r="E68" s="20">
        <x:v>16</x:v>
      </x:c>
      <x:c r="F68">
        <x:v>53</x:v>
      </x:c>
      <x:c r="G68" s="27" t="n">
        <x:f t="shared" si="4">MAX(0,42.71-(0.42*A68))</x:f>
        <x:v>14.57</x:v>
      </x:c>
      <x:c r="H68" s="27" t="n">
        <x:f t="shared" si="5">IF(E68="","",E68-G68)</x:f>
        <x:v>1.4299999999999997</x:v>
      </x:c>
      <x:c r="I68" t="str">
        <x:f t="shared" si="6">IF(E68="","No Auction Value",IF(OR(H68&gt;=8,J68&gt;=15),"🔥 STEAL",IF(OR(H68&gt;=4,J68&gt;=7),"✅ VALUE",IF(OR(H68&gt;=1.5,J68&gt;=3),"👍 SLIGHT VALUE",IF(AND(H68&gt;-1.5,H68&lt;1.5,J68&gt;-3,J68&lt;3),"FAIR",IF(OR(H68&lt;=-5,J68&lt;=-10),"❌ AVOID","⚠️ REACH"))))))</x:f>
        <x:v>✅ VALUE</x:v>
      </x:c>
      <x:c r="J68" s="28" t="n">
        <x:f t="shared" si="7">IF(F68="","",A68-F68)</x:f>
        <x:v>14</x:v>
      </x:c>
    </x:row>
    <x:row r="69">
      <x:c r="A69">
        <x:v>68</x:v>
      </x:c>
      <x:c r="B69" t="s">
        <x:v>181</x:v>
      </x:c>
      <x:c r="C69" t="s">
        <x:v>182</x:v>
      </x:c>
      <x:c r="D69" t="s">
        <x:v>9</x:v>
      </x:c>
      <x:c r="E69" s="20">
        <x:v>12</x:v>
      </x:c>
      <x:c r="F69">
        <x:v>67</x:v>
      </x:c>
      <x:c r="G69" s="27" t="n">
        <x:f t="shared" si="4">MAX(0,42.71-(0.42*A69))</x:f>
        <x:v>14.150000000000002</x:v>
      </x:c>
      <x:c r="H69" s="27" t="n">
        <x:f t="shared" si="5">IF(E69="","",E69-G69)</x:f>
        <x:v>-2.150000000000002</x:v>
      </x:c>
      <x:c r="I69" t="str">
        <x:f t="shared" si="6">IF(E69="","No Auction Value",IF(OR(H69&gt;=8,J69&gt;=15),"🔥 STEAL",IF(OR(H69&gt;=4,J69&gt;=7),"✅ VALUE",IF(OR(H69&gt;=1.5,J69&gt;=3),"👍 SLIGHT VALUE",IF(AND(H69&gt;-1.5,H69&lt;1.5,J69&gt;-3,J69&lt;3),"FAIR",IF(OR(H69&lt;=-5,J69&lt;=-10),"❌ AVOID","⚠️ REACH"))))))</x:f>
        <x:v>⚠️ REACH</x:v>
      </x:c>
      <x:c r="J69" s="28" t="n">
        <x:f t="shared" si="7">IF(F69="","",A69-F69)</x:f>
        <x:v>1</x:v>
      </x:c>
    </x:row>
    <x:row r="70">
      <x:c r="A70">
        <x:v>69</x:v>
      </x:c>
      <x:c r="B70" t="s">
        <x:v>183</x:v>
      </x:c>
      <x:c r="C70" t="s">
        <x:v>184</x:v>
      </x:c>
      <x:c r="D70" t="s">
        <x:v>14</x:v>
      </x:c>
      <x:c r="E70" s="20">
        <x:v>13</x:v>
      </x:c>
      <x:c r="F70">
        <x:v>60</x:v>
      </x:c>
      <x:c r="G70" s="27" t="n">
        <x:f t="shared" si="4">MAX(0,42.71-(0.42*A70))</x:f>
        <x:v>13.73</x:v>
      </x:c>
      <x:c r="H70" s="27" t="n">
        <x:f t="shared" si="5">IF(E70="","",E70-G70)</x:f>
        <x:v>-0.7300000000000004</x:v>
      </x:c>
      <x:c r="I70" t="str">
        <x:f t="shared" si="6">IF(E70="","No Auction Value",IF(OR(H70&gt;=8,J70&gt;=15),"🔥 STEAL",IF(OR(H70&gt;=4,J70&gt;=7),"✅ VALUE",IF(OR(H70&gt;=1.5,J70&gt;=3),"👍 SLIGHT VALUE",IF(AND(H70&gt;-1.5,H70&lt;1.5,J70&gt;-3,J70&lt;3),"FAIR",IF(OR(H70&lt;=-5,J70&lt;=-10),"❌ AVOID","⚠️ REACH"))))))</x:f>
        <x:v>✅ VALUE</x:v>
      </x:c>
      <x:c r="J70" s="28" t="n">
        <x:f t="shared" si="7">IF(F70="","",A70-F70)</x:f>
        <x:v>9</x:v>
      </x:c>
    </x:row>
    <x:row r="71">
      <x:c r="A71">
        <x:v>70</x:v>
      </x:c>
      <x:c r="B71" t="s">
        <x:v>185</x:v>
      </x:c>
      <x:c r="C71" t="s">
        <x:v>186</x:v>
      </x:c>
      <x:c r="D71" t="s">
        <x:v>14</x:v>
      </x:c>
      <x:c r="E71" s="20">
        <x:v>7</x:v>
      </x:c>
      <x:c r="F71">
        <x:v>92</x:v>
      </x:c>
      <x:c r="G71" s="27" t="n">
        <x:f t="shared" si="4">MAX(0,42.71-(0.42*A71))</x:f>
        <x:v>13.310000000000002</x:v>
      </x:c>
      <x:c r="H71" s="27" t="n">
        <x:f t="shared" si="5">IF(E71="","",E71-G71)</x:f>
        <x:v>-6.310000000000002</x:v>
      </x:c>
      <x:c r="I71" t="str">
        <x:f t="shared" si="6">IF(E71="","No Auction Value",IF(OR(H71&gt;=8,J71&gt;=15),"🔥 STEAL",IF(OR(H71&gt;=4,J71&gt;=7),"✅ VALUE",IF(OR(H71&gt;=1.5,J71&gt;=3),"👍 SLIGHT VALUE",IF(AND(H71&gt;-1.5,H71&lt;1.5,J71&gt;-3,J71&lt;3),"FAIR",IF(OR(H71&lt;=-5,J71&lt;=-10),"❌ AVOID","⚠️ REACH"))))))</x:f>
        <x:v>❌ AVOID</x:v>
      </x:c>
      <x:c r="J71" s="28" t="n">
        <x:f t="shared" si="7">IF(F71="","",A71-F71)</x:f>
        <x:v>-22</x:v>
      </x:c>
    </x:row>
    <x:row r="72">
      <x:c r="A72">
        <x:v>71</x:v>
      </x:c>
      <x:c r="B72" t="s">
        <x:v>187</x:v>
      </x:c>
      <x:c r="C72" t="s">
        <x:v>188</x:v>
      </x:c>
      <x:c r="D72" t="s">
        <x:v>116</x:v>
      </x:c>
      <x:c r="E72" s="20">
        <x:v>5</x:v>
      </x:c>
      <x:c r="F72">
        <x:v>108</x:v>
      </x:c>
      <x:c r="G72" s="27" t="n">
        <x:f t="shared" si="4">MAX(0,42.71-(0.42*A72))</x:f>
        <x:v>12.89</x:v>
      </x:c>
      <x:c r="H72" s="27" t="n">
        <x:f t="shared" si="5">IF(E72="","",E72-G72)</x:f>
        <x:v>-7.890000000000001</x:v>
      </x:c>
      <x:c r="I72" t="str">
        <x:f t="shared" si="6">IF(E72="","No Auction Value",IF(OR(H72&gt;=8,J72&gt;=15),"🔥 STEAL",IF(OR(H72&gt;=4,J72&gt;=7),"✅ VALUE",IF(OR(H72&gt;=1.5,J72&gt;=3),"👍 SLIGHT VALUE",IF(AND(H72&gt;-1.5,H72&lt;1.5,J72&gt;-3,J72&lt;3),"FAIR",IF(OR(H72&lt;=-5,J72&lt;=-10),"❌ AVOID","⚠️ REACH"))))))</x:f>
        <x:v>❌ AVOID</x:v>
      </x:c>
      <x:c r="J72" s="28" t="n">
        <x:f t="shared" si="7">IF(F72="","",A72-F72)</x:f>
        <x:v>-37</x:v>
      </x:c>
    </x:row>
    <x:row r="73">
      <x:c r="A73">
        <x:v>72</x:v>
      </x:c>
      <x:c r="B73" t="s">
        <x:v>189</x:v>
      </x:c>
      <x:c r="C73" t="s">
        <x:v>190</x:v>
      </x:c>
      <x:c r="D73" t="s">
        <x:v>14</x:v>
      </x:c>
      <x:c r="E73" s="20">
        <x:v>13</x:v>
      </x:c>
      <x:c r="F73">
        <x:v>60</x:v>
      </x:c>
      <x:c r="G73" s="27" t="n">
        <x:f t="shared" si="4">MAX(0,42.71-(0.42*A73))</x:f>
        <x:v>12.470000000000002</x:v>
      </x:c>
      <x:c r="H73" s="27" t="n">
        <x:f t="shared" si="5">IF(E73="","",E73-G73)</x:f>
        <x:v>0.5299999999999976</x:v>
      </x:c>
      <x:c r="I73" t="str">
        <x:f t="shared" si="6">IF(E73="","No Auction Value",IF(OR(H73&gt;=8,J73&gt;=15),"🔥 STEAL",IF(OR(H73&gt;=4,J73&gt;=7),"✅ VALUE",IF(OR(H73&gt;=1.5,J73&gt;=3),"👍 SLIGHT VALUE",IF(AND(H73&gt;-1.5,H73&lt;1.5,J73&gt;-3,J73&lt;3),"FAIR",IF(OR(H73&lt;=-5,J73&lt;=-10),"❌ AVOID","⚠️ REACH"))))))</x:f>
        <x:v>✅ VALUE</x:v>
      </x:c>
      <x:c r="J73" s="28" t="n">
        <x:f t="shared" si="7">IF(F73="","",A73-F73)</x:f>
        <x:v>12</x:v>
      </x:c>
    </x:row>
    <x:row r="74">
      <x:c r="A74">
        <x:v>73</x:v>
      </x:c>
      <x:c r="B74" t="s">
        <x:v>191</x:v>
      </x:c>
      <x:c r="C74" t="s">
        <x:v>192</x:v>
      </x:c>
      <x:c r="D74" t="s">
        <x:v>116</x:v>
      </x:c>
      <x:c r="E74" s="20">
        <x:v>12</x:v>
      </x:c>
      <x:c r="F74">
        <x:v>67</x:v>
      </x:c>
      <x:c r="G74" s="27" t="n">
        <x:f t="shared" si="4">MAX(0,42.71-(0.42*A74))</x:f>
        <x:v>12.05</x:v>
      </x:c>
      <x:c r="H74" s="27" t="n">
        <x:f t="shared" si="5">IF(E74="","",E74-G74)</x:f>
        <x:v>-0.05000000000000071</x:v>
      </x:c>
      <x:c r="I74" t="str">
        <x:f t="shared" si="6">IF(E74="","No Auction Value",IF(OR(H74&gt;=8,J74&gt;=15),"🔥 STEAL",IF(OR(H74&gt;=4,J74&gt;=7),"✅ VALUE",IF(OR(H74&gt;=1.5,J74&gt;=3),"👍 SLIGHT VALUE",IF(AND(H74&gt;-1.5,H74&lt;1.5,J74&gt;-3,J74&lt;3),"FAIR",IF(OR(H74&lt;=-5,J74&lt;=-10),"❌ AVOID","⚠️ REACH"))))))</x:f>
        <x:v>👍 SLIGHT VALUE</x:v>
      </x:c>
      <x:c r="J74" s="28" t="n">
        <x:f t="shared" si="7">IF(F74="","",A74-F74)</x:f>
        <x:v>6</x:v>
      </x:c>
    </x:row>
    <x:row r="75">
      <x:c r="A75">
        <x:v>74</x:v>
      </x:c>
      <x:c r="B75" t="s">
        <x:v>193</x:v>
      </x:c>
      <x:c r="C75" t="s">
        <x:v>194</x:v>
      </x:c>
      <x:c r="D75" t="s">
        <x:v>116</x:v>
      </x:c>
      <x:c r="E75" s="20">
        <x:v>7</x:v>
      </x:c>
      <x:c r="F75">
        <x:v>92</x:v>
      </x:c>
      <x:c r="G75" s="27" t="n">
        <x:f t="shared" si="4">MAX(0,42.71-(0.42*A75))</x:f>
        <x:v>11.630000000000003</x:v>
      </x:c>
      <x:c r="H75" s="27" t="n">
        <x:f t="shared" si="5">IF(E75="","",E75-G75)</x:f>
        <x:v>-4.630000000000003</x:v>
      </x:c>
      <x:c r="I75" t="str">
        <x:f t="shared" si="6">IF(E75="","No Auction Value",IF(OR(H75&gt;=8,J75&gt;=15),"🔥 STEAL",IF(OR(H75&gt;=4,J75&gt;=7),"✅ VALUE",IF(OR(H75&gt;=1.5,J75&gt;=3),"👍 SLIGHT VALUE",IF(AND(H75&gt;-1.5,H75&lt;1.5,J75&gt;-3,J75&lt;3),"FAIR",IF(OR(H75&lt;=-5,J75&lt;=-10),"❌ AVOID","⚠️ REACH"))))))</x:f>
        <x:v>❌ AVOID</x:v>
      </x:c>
      <x:c r="J75" s="28" t="n">
        <x:f t="shared" si="7">IF(F75="","",A75-F75)</x:f>
        <x:v>-18</x:v>
      </x:c>
    </x:row>
    <x:row r="76">
      <x:c r="A76">
        <x:v>75</x:v>
      </x:c>
      <x:c r="B76" t="s">
        <x:v>195</x:v>
      </x:c>
      <x:c r="C76" t="s">
        <x:v>196</x:v>
      </x:c>
      <x:c r="D76" t="s">
        <x:v>9</x:v>
      </x:c>
      <x:c r="E76" s="20">
        <x:v>14</x:v>
      </x:c>
      <x:c r="F76">
        <x:v>57</x:v>
      </x:c>
      <x:c r="G76" s="27" t="n">
        <x:f t="shared" si="4">MAX(0,42.71-(0.42*A76))</x:f>
        <x:v>11.21</x:v>
      </x:c>
      <x:c r="H76" s="27" t="n">
        <x:f t="shared" si="5">IF(E76="","",E76-G76)</x:f>
        <x:v>2.789999999999999</x:v>
      </x:c>
      <x:c r="I76" t="str">
        <x:f t="shared" si="6">IF(E76="","No Auction Value",IF(OR(H76&gt;=8,J76&gt;=15),"🔥 STEAL",IF(OR(H76&gt;=4,J76&gt;=7),"✅ VALUE",IF(OR(H76&gt;=1.5,J76&gt;=3),"👍 SLIGHT VALUE",IF(AND(H76&gt;-1.5,H76&lt;1.5,J76&gt;-3,J76&lt;3),"FAIR",IF(OR(H76&lt;=-5,J76&lt;=-10),"❌ AVOID","⚠️ REACH"))))))</x:f>
        <x:v>🔥 STEAL</x:v>
      </x:c>
      <x:c r="J76" s="28" t="n">
        <x:f t="shared" si="7">IF(F76="","",A76-F76)</x:f>
        <x:v>18</x:v>
      </x:c>
    </x:row>
    <x:row r="77">
      <x:c r="A77">
        <x:v>76</x:v>
      </x:c>
      <x:c r="B77" t="s">
        <x:v>197</x:v>
      </x:c>
      <x:c r="C77" t="s">
        <x:v>198</x:v>
      </x:c>
      <x:c r="D77" t="s">
        <x:v>14</x:v>
      </x:c>
      <x:c r="E77" s="20">
        <x:v>8</x:v>
      </x:c>
      <x:c r="F77">
        <x:v>84</x:v>
      </x:c>
      <x:c r="G77" s="27" t="n">
        <x:f t="shared" si="4">MAX(0,42.71-(0.42*A77))</x:f>
        <x:v>10.790000000000003</x:v>
      </x:c>
      <x:c r="H77" s="27" t="n">
        <x:f t="shared" si="5">IF(E77="","",E77-G77)</x:f>
        <x:v>-2.7900000000000027</x:v>
      </x:c>
      <x:c r="I77" t="str">
        <x:f t="shared" si="6">IF(E77="","No Auction Value",IF(OR(H77&gt;=8,J77&gt;=15),"🔥 STEAL",IF(OR(H77&gt;=4,J77&gt;=7),"✅ VALUE",IF(OR(H77&gt;=1.5,J77&gt;=3),"👍 SLIGHT VALUE",IF(AND(H77&gt;-1.5,H77&lt;1.5,J77&gt;-3,J77&lt;3),"FAIR",IF(OR(H77&lt;=-5,J77&lt;=-10),"❌ AVOID","⚠️ REACH"))))))</x:f>
        <x:v>⚠️ REACH</x:v>
      </x:c>
      <x:c r="J77" s="28" t="n">
        <x:f t="shared" si="7">IF(F77="","",A77-F77)</x:f>
        <x:v>-8</x:v>
      </x:c>
    </x:row>
    <x:row r="78">
      <x:c r="A78">
        <x:v>77</x:v>
      </x:c>
      <x:c r="B78" t="s">
        <x:v>199</x:v>
      </x:c>
      <x:c r="C78" t="s">
        <x:v>200</x:v>
      </x:c>
      <x:c r="D78" t="s">
        <x:v>9</x:v>
      </x:c>
      <x:c r="E78" s="20">
        <x:v>11</x:v>
      </x:c>
      <x:c r="F78">
        <x:v>72</x:v>
      </x:c>
      <x:c r="G78" s="27" t="n">
        <x:f t="shared" si="4">MAX(0,42.71-(0.42*A78))</x:f>
        <x:v>10.370000000000005</x:v>
      </x:c>
      <x:c r="H78" s="27" t="n">
        <x:f t="shared" si="5">IF(E78="","",E78-G78)</x:f>
        <x:v>0.6299999999999955</x:v>
      </x:c>
      <x:c r="I78" t="str">
        <x:f t="shared" si="6">IF(E78="","No Auction Value",IF(OR(H78&gt;=8,J78&gt;=15),"🔥 STEAL",IF(OR(H78&gt;=4,J78&gt;=7),"✅ VALUE",IF(OR(H78&gt;=1.5,J78&gt;=3),"👍 SLIGHT VALUE",IF(AND(H78&gt;-1.5,H78&lt;1.5,J78&gt;-3,J78&lt;3),"FAIR",IF(OR(H78&lt;=-5,J78&lt;=-10),"❌ AVOID","⚠️ REACH"))))))</x:f>
        <x:v>👍 SLIGHT VALUE</x:v>
      </x:c>
      <x:c r="J78" s="28" t="n">
        <x:f t="shared" si="7">IF(F78="","",A78-F78)</x:f>
        <x:v>5</x:v>
      </x:c>
    </x:row>
    <x:row r="79">
      <x:c r="A79">
        <x:v>78</x:v>
      </x:c>
      <x:c r="B79" t="s">
        <x:v>201</x:v>
      </x:c>
      <x:c r="C79" t="s">
        <x:v>202</x:v>
      </x:c>
      <x:c r="D79" t="s">
        <x:v>116</x:v>
      </x:c>
      <x:c r="E79" s="20">
        <x:v>5</x:v>
      </x:c>
      <x:c r="F79">
        <x:v>108</x:v>
      </x:c>
      <x:c r="G79" s="27" t="n">
        <x:f t="shared" si="4">MAX(0,42.71-(0.42*A79))</x:f>
        <x:v>9.950000000000003</x:v>
      </x:c>
      <x:c r="H79" s="27" t="n">
        <x:f t="shared" si="5">IF(E79="","",E79-G79)</x:f>
        <x:v>-4.950000000000003</x:v>
      </x:c>
      <x:c r="I79" t="str">
        <x:f t="shared" si="6">IF(E79="","No Auction Value",IF(OR(H79&gt;=8,J79&gt;=15),"🔥 STEAL",IF(OR(H79&gt;=4,J79&gt;=7),"✅ VALUE",IF(OR(H79&gt;=1.5,J79&gt;=3),"👍 SLIGHT VALUE",IF(AND(H79&gt;-1.5,H79&lt;1.5,J79&gt;-3,J79&lt;3),"FAIR",IF(OR(H79&lt;=-5,J79&lt;=-10),"❌ AVOID","⚠️ REACH"))))))</x:f>
        <x:v>❌ AVOID</x:v>
      </x:c>
      <x:c r="J79" s="28" t="n">
        <x:f t="shared" si="7">IF(F79="","",A79-F79)</x:f>
        <x:v>-30</x:v>
      </x:c>
    </x:row>
    <x:row r="80">
      <x:c r="A80">
        <x:v>79</x:v>
      </x:c>
      <x:c r="B80" t="s">
        <x:v>203</x:v>
      </x:c>
      <x:c r="C80" t="s">
        <x:v>204</x:v>
      </x:c>
      <x:c r="D80" t="s">
        <x:v>116</x:v>
      </x:c>
      <x:c r="E80" s="20">
        <x:v>7</x:v>
      </x:c>
      <x:c r="F80">
        <x:v>92</x:v>
      </x:c>
      <x:c r="G80" s="27" t="n">
        <x:f t="shared" si="4">MAX(0,42.71-(0.42*A80))</x:f>
        <x:v>9.530000000000001</x:v>
      </x:c>
      <x:c r="H80" s="27" t="n">
        <x:f t="shared" si="5">IF(E80="","",E80-G80)</x:f>
        <x:v>-2.530000000000001</x:v>
      </x:c>
      <x:c r="I80" t="str">
        <x:f t="shared" si="6">IF(E80="","No Auction Value",IF(OR(H80&gt;=8,J80&gt;=15),"🔥 STEAL",IF(OR(H80&gt;=4,J80&gt;=7),"✅ VALUE",IF(OR(H80&gt;=1.5,J80&gt;=3),"👍 SLIGHT VALUE",IF(AND(H80&gt;-1.5,H80&lt;1.5,J80&gt;-3,J80&lt;3),"FAIR",IF(OR(H80&lt;=-5,J80&lt;=-10),"❌ AVOID","⚠️ REACH"))))))</x:f>
        <x:v>❌ AVOID</x:v>
      </x:c>
      <x:c r="J80" s="28" t="n">
        <x:f t="shared" si="7">IF(F80="","",A80-F80)</x:f>
        <x:v>-13</x:v>
      </x:c>
    </x:row>
    <x:row r="81">
      <x:c r="A81">
        <x:v>80</x:v>
      </x:c>
      <x:c r="B81" t="s">
        <x:v>205</x:v>
      </x:c>
      <x:c r="C81" t="s">
        <x:v>206</x:v>
      </x:c>
      <x:c r="D81" t="s">
        <x:v>116</x:v>
      </x:c>
      <x:c r="E81" s="20">
        <x:v>3</x:v>
      </x:c>
      <x:c r="F81">
        <x:v>127</x:v>
      </x:c>
      <x:c r="G81" s="27" t="n">
        <x:f t="shared" si="4">MAX(0,42.71-(0.42*A81))</x:f>
        <x:v>9.11</x:v>
      </x:c>
      <x:c r="H81" s="27" t="n">
        <x:f t="shared" si="5">IF(E81="","",E81-G81)</x:f>
        <x:v>-6.109999999999999</x:v>
      </x:c>
      <x:c r="I81" t="str">
        <x:f t="shared" si="6">IF(E81="","No Auction Value",IF(OR(H81&gt;=8,J81&gt;=15),"🔥 STEAL",IF(OR(H81&gt;=4,J81&gt;=7),"✅ VALUE",IF(OR(H81&gt;=1.5,J81&gt;=3),"👍 SLIGHT VALUE",IF(AND(H81&gt;-1.5,H81&lt;1.5,J81&gt;-3,J81&lt;3),"FAIR",IF(OR(H81&lt;=-5,J81&lt;=-10),"❌ AVOID","⚠️ REACH"))))))</x:f>
        <x:v>❌ AVOID</x:v>
      </x:c>
      <x:c r="J81" s="28" t="n">
        <x:f t="shared" si="7">IF(F81="","",A81-F81)</x:f>
        <x:v>-47</x:v>
      </x:c>
    </x:row>
    <x:row r="82">
      <x:c r="A82">
        <x:v>81</x:v>
      </x:c>
      <x:c r="B82" t="s">
        <x:v>207</x:v>
      </x:c>
      <x:c r="C82" t="s">
        <x:v>208</x:v>
      </x:c>
      <x:c r="D82" t="s">
        <x:v>14</x:v>
      </x:c>
      <x:c r="E82" s="20">
        <x:v>7</x:v>
      </x:c>
      <x:c r="F82">
        <x:v>92</x:v>
      </x:c>
      <x:c r="G82" s="27" t="n">
        <x:f t="shared" si="4">MAX(0,42.71-(0.42*A82))</x:f>
        <x:v>8.690000000000005</x:v>
      </x:c>
      <x:c r="H82" s="27" t="n">
        <x:f t="shared" si="5">IF(E82="","",E82-G82)</x:f>
        <x:v>-1.6900000000000048</x:v>
      </x:c>
      <x:c r="I82" t="str">
        <x:f t="shared" si="6">IF(E82="","No Auction Value",IF(OR(H82&gt;=8,J82&gt;=15),"🔥 STEAL",IF(OR(H82&gt;=4,J82&gt;=7),"✅ VALUE",IF(OR(H82&gt;=1.5,J82&gt;=3),"👍 SLIGHT VALUE",IF(AND(H82&gt;-1.5,H82&lt;1.5,J82&gt;-3,J82&lt;3),"FAIR",IF(OR(H82&lt;=-5,J82&lt;=-10),"❌ AVOID","⚠️ REACH"))))))</x:f>
        <x:v>❌ AVOID</x:v>
      </x:c>
      <x:c r="J82" s="28" t="n">
        <x:f t="shared" si="7">IF(F82="","",A82-F82)</x:f>
        <x:v>-11</x:v>
      </x:c>
    </x:row>
    <x:row r="83">
      <x:c r="A83">
        <x:v>82</x:v>
      </x:c>
      <x:c r="B83" t="s">
        <x:v>209</x:v>
      </x:c>
      <x:c r="C83" t="s">
        <x:v>210</x:v>
      </x:c>
      <x:c r="D83" t="s">
        <x:v>65</x:v>
      </x:c>
      <x:c r="E83" s="20">
        <x:v>7</x:v>
      </x:c>
      <x:c r="F83">
        <x:v>92</x:v>
      </x:c>
      <x:c r="G83" s="27" t="n">
        <x:f t="shared" si="4">MAX(0,42.71-(0.42*A83))</x:f>
        <x:v>8.270000000000003</x:v>
      </x:c>
      <x:c r="H83" s="27" t="n">
        <x:f t="shared" si="5">IF(E83="","",E83-G83)</x:f>
        <x:v>-1.2700000000000031</x:v>
      </x:c>
      <x:c r="I83" t="str">
        <x:f t="shared" si="6">IF(E83="","No Auction Value",IF(OR(H83&gt;=8,J83&gt;=15),"🔥 STEAL",IF(OR(H83&gt;=4,J83&gt;=7),"✅ VALUE",IF(OR(H83&gt;=1.5,J83&gt;=3),"👍 SLIGHT VALUE",IF(AND(H83&gt;-1.5,H83&lt;1.5,J83&gt;-3,J83&lt;3),"FAIR",IF(OR(H83&lt;=-5,J83&lt;=-10),"❌ AVOID","⚠️ REACH"))))))</x:f>
        <x:v>❌ AVOID</x:v>
      </x:c>
      <x:c r="J83" s="28" t="n">
        <x:f t="shared" si="7">IF(F83="","",A83-F83)</x:f>
        <x:v>-10</x:v>
      </x:c>
    </x:row>
    <x:row r="84">
      <x:c r="A84">
        <x:v>83</x:v>
      </x:c>
      <x:c r="B84" t="s">
        <x:v>211</x:v>
      </x:c>
      <x:c r="C84" t="s">
        <x:v>212</x:v>
      </x:c>
      <x:c r="D84" t="s">
        <x:v>14</x:v>
      </x:c>
      <x:c r="E84" s="20">
        <x:v>6</x:v>
      </x:c>
      <x:c r="F84">
        <x:v>102</x:v>
      </x:c>
      <x:c r="G84" s="27" t="n">
        <x:f t="shared" si="4">MAX(0,42.71-(0.42*A84))</x:f>
        <x:v>7.850000000000001</x:v>
      </x:c>
      <x:c r="H84" s="27" t="n">
        <x:f t="shared" si="5">IF(E84="","",E84-G84)</x:f>
        <x:v>-1.8500000000000014</x:v>
      </x:c>
      <x:c r="I84" t="str">
        <x:f t="shared" si="6">IF(E84="","No Auction Value",IF(OR(H84&gt;=8,J84&gt;=15),"🔥 STEAL",IF(OR(H84&gt;=4,J84&gt;=7),"✅ VALUE",IF(OR(H84&gt;=1.5,J84&gt;=3),"👍 SLIGHT VALUE",IF(AND(H84&gt;-1.5,H84&lt;1.5,J84&gt;-3,J84&lt;3),"FAIR",IF(OR(H84&lt;=-5,J84&lt;=-10),"❌ AVOID","⚠️ REACH"))))))</x:f>
        <x:v>❌ AVOID</x:v>
      </x:c>
      <x:c r="J84" s="28" t="n">
        <x:f t="shared" si="7">IF(F84="","",A84-F84)</x:f>
        <x:v>-19</x:v>
      </x:c>
    </x:row>
    <x:row r="85">
      <x:c r="A85">
        <x:v>84</x:v>
      </x:c>
      <x:c r="B85" t="s">
        <x:v>213</x:v>
      </x:c>
      <x:c r="C85" t="s">
        <x:v>214</x:v>
      </x:c>
      <x:c r="D85" t="s">
        <x:v>14</x:v>
      </x:c>
      <x:c r="E85" s="20">
        <x:v>7</x:v>
      </x:c>
      <x:c r="F85">
        <x:v>92</x:v>
      </x:c>
      <x:c r="G85" s="27" t="n">
        <x:f t="shared" si="4">MAX(0,42.71-(0.42*A85))</x:f>
        <x:v>7.43</x:v>
      </x:c>
      <x:c r="H85" s="27" t="n">
        <x:f t="shared" si="5">IF(E85="","",E85-G85)</x:f>
        <x:v>-0.4299999999999997</x:v>
      </x:c>
      <x:c r="I85" t="str">
        <x:f t="shared" si="6">IF(E85="","No Auction Value",IF(OR(H85&gt;=8,J85&gt;=15),"🔥 STEAL",IF(OR(H85&gt;=4,J85&gt;=7),"✅ VALUE",IF(OR(H85&gt;=1.5,J85&gt;=3),"👍 SLIGHT VALUE",IF(AND(H85&gt;-1.5,H85&lt;1.5,J85&gt;-3,J85&lt;3),"FAIR",IF(OR(H85&lt;=-5,J85&lt;=-10),"❌ AVOID","⚠️ REACH"))))))</x:f>
        <x:v>⚠️ REACH</x:v>
      </x:c>
      <x:c r="J85" s="28" t="n">
        <x:f t="shared" si="7">IF(F85="","",A85-F85)</x:f>
        <x:v>-8</x:v>
      </x:c>
    </x:row>
    <x:row r="86">
      <x:c r="A86">
        <x:v>85</x:v>
      </x:c>
      <x:c r="B86" t="s">
        <x:v>215</x:v>
      </x:c>
      <x:c r="C86" t="s">
        <x:v>216</x:v>
      </x:c>
      <x:c r="D86" t="s">
        <x:v>14</x:v>
      </x:c>
      <x:c r="E86" s="20">
        <x:v>5</x:v>
      </x:c>
      <x:c r="F86">
        <x:v>108</x:v>
      </x:c>
      <x:c r="G86" s="27" t="n">
        <x:f t="shared" si="4">MAX(0,42.71-(0.42*A86))</x:f>
        <x:v>7.010000000000005</x:v>
      </x:c>
      <x:c r="H86" s="27" t="n">
        <x:f t="shared" si="5">IF(E86="","",E86-G86)</x:f>
        <x:v>-2.010000000000005</x:v>
      </x:c>
      <x:c r="I86" t="str">
        <x:f t="shared" si="6">IF(E86="","No Auction Value",IF(OR(H86&gt;=8,J86&gt;=15),"🔥 STEAL",IF(OR(H86&gt;=4,J86&gt;=7),"✅ VALUE",IF(OR(H86&gt;=1.5,J86&gt;=3),"👍 SLIGHT VALUE",IF(AND(H86&gt;-1.5,H86&lt;1.5,J86&gt;-3,J86&lt;3),"FAIR",IF(OR(H86&lt;=-5,J86&lt;=-10),"❌ AVOID","⚠️ REACH"))))))</x:f>
        <x:v>❌ AVOID</x:v>
      </x:c>
      <x:c r="J86" s="28" t="n">
        <x:f t="shared" si="7">IF(F86="","",A86-F86)</x:f>
        <x:v>-23</x:v>
      </x:c>
    </x:row>
    <x:row r="87">
      <x:c r="A87">
        <x:v>86</x:v>
      </x:c>
      <x:c r="B87" t="s">
        <x:v>217</x:v>
      </x:c>
      <x:c r="C87" t="s">
        <x:v>218</x:v>
      </x:c>
      <x:c r="D87" t="s">
        <x:v>14</x:v>
      </x:c>
      <x:c r="E87" s="20">
        <x:v>4</x:v>
      </x:c>
      <x:c r="F87">
        <x:v>118</x:v>
      </x:c>
      <x:c r="G87" s="27" t="n">
        <x:f t="shared" si="4">MAX(0,42.71-(0.42*A87))</x:f>
        <x:v>6.590000000000003</x:v>
      </x:c>
      <x:c r="H87" s="27" t="n">
        <x:f t="shared" si="5">IF(E87="","",E87-G87)</x:f>
        <x:v>-2.5900000000000034</x:v>
      </x:c>
      <x:c r="I87" t="str">
        <x:f t="shared" si="6">IF(E87="","No Auction Value",IF(OR(H87&gt;=8,J87&gt;=15),"🔥 STEAL",IF(OR(H87&gt;=4,J87&gt;=7),"✅ VALUE",IF(OR(H87&gt;=1.5,J87&gt;=3),"👍 SLIGHT VALUE",IF(AND(H87&gt;-1.5,H87&lt;1.5,J87&gt;-3,J87&lt;3),"FAIR",IF(OR(H87&lt;=-5,J87&lt;=-10),"❌ AVOID","⚠️ REACH"))))))</x:f>
        <x:v>❌ AVOID</x:v>
      </x:c>
      <x:c r="J87" s="28" t="n">
        <x:f t="shared" si="7">IF(F87="","",A87-F87)</x:f>
        <x:v>-32</x:v>
      </x:c>
    </x:row>
    <x:row r="88">
      <x:c r="A88">
        <x:v>87</x:v>
      </x:c>
      <x:c r="B88" t="s">
        <x:v>219</x:v>
      </x:c>
      <x:c r="C88" t="s">
        <x:v>220</x:v>
      </x:c>
      <x:c r="D88" t="s">
        <x:v>9</x:v>
      </x:c>
      <x:c r="E88" s="20">
        <x:v>10</x:v>
      </x:c>
      <x:c r="F88">
        <x:v>76</x:v>
      </x:c>
      <x:c r="G88" s="27" t="n">
        <x:f t="shared" si="4">MAX(0,42.71-(0.42*A88))</x:f>
        <x:v>6.170000000000002</x:v>
      </x:c>
      <x:c r="H88" s="27" t="n">
        <x:f t="shared" si="5">IF(E88="","",E88-G88)</x:f>
        <x:v>3.8299999999999983</x:v>
      </x:c>
      <x:c r="I88" t="str">
        <x:f t="shared" si="6">IF(E88="","No Auction Value",IF(OR(H88&gt;=8,J88&gt;=15),"🔥 STEAL",IF(OR(H88&gt;=4,J88&gt;=7),"✅ VALUE",IF(OR(H88&gt;=1.5,J88&gt;=3),"👍 SLIGHT VALUE",IF(AND(H88&gt;-1.5,H88&lt;1.5,J88&gt;-3,J88&lt;3),"FAIR",IF(OR(H88&lt;=-5,J88&lt;=-10),"❌ AVOID","⚠️ REACH"))))))</x:f>
        <x:v>✅ VALUE</x:v>
      </x:c>
      <x:c r="J88" s="28" t="n">
        <x:f t="shared" si="7">IF(F88="","",A88-F88)</x:f>
        <x:v>11</x:v>
      </x:c>
    </x:row>
    <x:row r="89">
      <x:c r="A89">
        <x:v>88</x:v>
      </x:c>
      <x:c r="B89" t="s">
        <x:v>221</x:v>
      </x:c>
      <x:c r="C89" t="s">
        <x:v>222</x:v>
      </x:c>
      <x:c r="D89" t="s">
        <x:v>9</x:v>
      </x:c>
      <x:c r="E89" s="20">
        <x:v>8</x:v>
      </x:c>
      <x:c r="F89">
        <x:v>84</x:v>
      </x:c>
      <x:c r="G89" s="27" t="n">
        <x:f t="shared" si="4">MAX(0,42.71-(0.42*A89))</x:f>
        <x:v>5.75</x:v>
      </x:c>
      <x:c r="H89" s="27" t="n">
        <x:f t="shared" si="5">IF(E89="","",E89-G89)</x:f>
        <x:v>2.25</x:v>
      </x:c>
      <x:c r="I89" t="str">
        <x:f t="shared" si="6">IF(E89="","No Auction Value",IF(OR(H89&gt;=8,J89&gt;=15),"🔥 STEAL",IF(OR(H89&gt;=4,J89&gt;=7),"✅ VALUE",IF(OR(H89&gt;=1.5,J89&gt;=3),"👍 SLIGHT VALUE",IF(AND(H89&gt;-1.5,H89&lt;1.5,J89&gt;-3,J89&lt;3),"FAIR",IF(OR(H89&lt;=-5,J89&lt;=-10),"❌ AVOID","⚠️ REACH"))))))</x:f>
        <x:v>👍 SLIGHT VALUE</x:v>
      </x:c>
      <x:c r="J89" s="28" t="n">
        <x:f t="shared" si="7">IF(F89="","",A89-F89)</x:f>
        <x:v>4</x:v>
      </x:c>
    </x:row>
    <x:row r="90">
      <x:c r="A90">
        <x:v>89</x:v>
      </x:c>
      <x:c r="B90" t="s">
        <x:v>223</x:v>
      </x:c>
      <x:c r="C90" t="s">
        <x:v>224</x:v>
      </x:c>
      <x:c r="D90" t="s">
        <x:v>116</x:v>
      </x:c>
      <x:c r="E90" s="20">
        <x:v>7</x:v>
      </x:c>
      <x:c r="F90">
        <x:v>92</x:v>
      </x:c>
      <x:c r="G90" s="27" t="n">
        <x:f t="shared" si="4">MAX(0,42.71-(0.42*A90))</x:f>
        <x:v>5.330000000000005</x:v>
      </x:c>
      <x:c r="H90" s="27" t="n">
        <x:f t="shared" si="5">IF(E90="","",E90-G90)</x:f>
        <x:v>1.6699999999999946</x:v>
      </x:c>
      <x:c r="I90" t="str">
        <x:f t="shared" si="6">IF(E90="","No Auction Value",IF(OR(H90&gt;=8,J90&gt;=15),"🔥 STEAL",IF(OR(H90&gt;=4,J90&gt;=7),"✅ VALUE",IF(OR(H90&gt;=1.5,J90&gt;=3),"👍 SLIGHT VALUE",IF(AND(H90&gt;-1.5,H90&lt;1.5,J90&gt;-3,J90&lt;3),"FAIR",IF(OR(H90&lt;=-5,J90&lt;=-10),"❌ AVOID","⚠️ REACH"))))))</x:f>
        <x:v>👍 SLIGHT VALUE</x:v>
      </x:c>
      <x:c r="J90" s="28" t="n">
        <x:f t="shared" si="7">IF(F90="","",A90-F90)</x:f>
        <x:v>-3</x:v>
      </x:c>
    </x:row>
    <x:row r="91">
      <x:c r="A91">
        <x:v>90</x:v>
      </x:c>
      <x:c r="B91" t="s">
        <x:v>225</x:v>
      </x:c>
      <x:c r="C91" t="s">
        <x:v>226</x:v>
      </x:c>
      <x:c r="D91" t="s">
        <x:v>116</x:v>
      </x:c>
      <x:c r="E91" s="20">
        <x:v>6</x:v>
      </x:c>
      <x:c r="F91">
        <x:v>102</x:v>
      </x:c>
      <x:c r="G91" s="27" t="n">
        <x:f t="shared" si="4">MAX(0,42.71-(0.42*A91))</x:f>
        <x:v>4.910000000000004</x:v>
      </x:c>
      <x:c r="H91" s="27" t="n">
        <x:f t="shared" si="5">IF(E91="","",E91-G91)</x:f>
        <x:v>1.0899999999999963</x:v>
      </x:c>
      <x:c r="I91" t="str">
        <x:f t="shared" si="6">IF(E91="","No Auction Value",IF(OR(H91&gt;=8,J91&gt;=15),"🔥 STEAL",IF(OR(H91&gt;=4,J91&gt;=7),"✅ VALUE",IF(OR(H91&gt;=1.5,J91&gt;=3),"👍 SLIGHT VALUE",IF(AND(H91&gt;-1.5,H91&lt;1.5,J91&gt;-3,J91&lt;3),"FAIR",IF(OR(H91&lt;=-5,J91&lt;=-10),"❌ AVOID","⚠️ REACH"))))))</x:f>
        <x:v>❌ AVOID</x:v>
      </x:c>
      <x:c r="J91" s="28" t="n">
        <x:f t="shared" si="7">IF(F91="","",A91-F91)</x:f>
        <x:v>-12</x:v>
      </x:c>
    </x:row>
    <x:row r="92">
      <x:c r="A92">
        <x:v>91</x:v>
      </x:c>
      <x:c r="B92" t="s">
        <x:v>227</x:v>
      </x:c>
      <x:c r="C92" t="s">
        <x:v>228</x:v>
      </x:c>
      <x:c r="D92" t="s">
        <x:v>9</x:v>
      </x:c>
      <x:c r="E92" s="20">
        <x:v>8</x:v>
      </x:c>
      <x:c r="F92">
        <x:v>84</x:v>
      </x:c>
      <x:c r="G92" s="27" t="n">
        <x:f t="shared" si="4">MAX(0,42.71-(0.42*A92))</x:f>
        <x:v>4.490000000000002</x:v>
      </x:c>
      <x:c r="H92" s="27" t="n">
        <x:f t="shared" si="5">IF(E92="","",E92-G92)</x:f>
        <x:v>3.509999999999998</x:v>
      </x:c>
      <x:c r="I92" t="str">
        <x:f t="shared" si="6">IF(E92="","No Auction Value",IF(OR(H92&gt;=8,J92&gt;=15),"🔥 STEAL",IF(OR(H92&gt;=4,J92&gt;=7),"✅ VALUE",IF(OR(H92&gt;=1.5,J92&gt;=3),"👍 SLIGHT VALUE",IF(AND(H92&gt;-1.5,H92&lt;1.5,J92&gt;-3,J92&lt;3),"FAIR",IF(OR(H92&lt;=-5,J92&lt;=-10),"❌ AVOID","⚠️ REACH"))))))</x:f>
        <x:v>✅ VALUE</x:v>
      </x:c>
      <x:c r="J92" s="28" t="n">
        <x:f t="shared" si="7">IF(F92="","",A92-F92)</x:f>
        <x:v>7</x:v>
      </x:c>
    </x:row>
    <x:row r="93">
      <x:c r="A93">
        <x:v>92</x:v>
      </x:c>
      <x:c r="B93" t="s">
        <x:v>229</x:v>
      </x:c>
      <x:c r="C93" t="s">
        <x:v>230</x:v>
      </x:c>
      <x:c r="D93" t="s">
        <x:v>14</x:v>
      </x:c>
      <x:c r="E93" s="20">
        <x:v>14</x:v>
      </x:c>
      <x:c r="F93">
        <x:v>57</x:v>
      </x:c>
      <x:c r="G93" s="27" t="n">
        <x:f t="shared" si="4">MAX(0,42.71-(0.42*A93))</x:f>
        <x:v>4.07</x:v>
      </x:c>
      <x:c r="H93" s="27" t="n">
        <x:f t="shared" si="5">IF(E93="","",E93-G93)</x:f>
        <x:v>9.93</x:v>
      </x:c>
      <x:c r="I93" t="str">
        <x:f t="shared" si="6">IF(E93="","No Auction Value",IF(OR(H93&gt;=8,J93&gt;=15),"🔥 STEAL",IF(OR(H93&gt;=4,J93&gt;=7),"✅ VALUE",IF(OR(H93&gt;=1.5,J93&gt;=3),"👍 SLIGHT VALUE",IF(AND(H93&gt;-1.5,H93&lt;1.5,J93&gt;-3,J93&lt;3),"FAIR",IF(OR(H93&lt;=-5,J93&lt;=-10),"❌ AVOID","⚠️ REACH"))))))</x:f>
        <x:v>🔥 STEAL</x:v>
      </x:c>
      <x:c r="J93" s="28" t="n">
        <x:f t="shared" si="7">IF(F93="","",A93-F93)</x:f>
        <x:v>35</x:v>
      </x:c>
    </x:row>
    <x:row r="94">
      <x:c r="A94">
        <x:v>93</x:v>
      </x:c>
      <x:c r="B94" t="s">
        <x:v>231</x:v>
      </x:c>
      <x:c r="C94" t="s">
        <x:v>232</x:v>
      </x:c>
      <x:c r="D94" t="s">
        <x:v>9</x:v>
      </x:c>
      <x:c r="E94" s="20">
        <x:v>8</x:v>
      </x:c>
      <x:c r="F94">
        <x:v>84</x:v>
      </x:c>
      <x:c r="G94" s="27" t="n">
        <x:f t="shared" si="4">MAX(0,42.71-(0.42*A94))</x:f>
        <x:v>3.6500000000000057</x:v>
      </x:c>
      <x:c r="H94" s="27" t="n">
        <x:f t="shared" si="5">IF(E94="","",E94-G94)</x:f>
        <x:v>4.349999999999994</x:v>
      </x:c>
      <x:c r="I94" t="str">
        <x:f t="shared" si="6">IF(E94="","No Auction Value",IF(OR(H94&gt;=8,J94&gt;=15),"🔥 STEAL",IF(OR(H94&gt;=4,J94&gt;=7),"✅ VALUE",IF(OR(H94&gt;=1.5,J94&gt;=3),"👍 SLIGHT VALUE",IF(AND(H94&gt;-1.5,H94&lt;1.5,J94&gt;-3,J94&lt;3),"FAIR",IF(OR(H94&lt;=-5,J94&lt;=-10),"❌ AVOID","⚠️ REACH"))))))</x:f>
        <x:v>✅ VALUE</x:v>
      </x:c>
      <x:c r="J94" s="28" t="n">
        <x:f t="shared" si="7">IF(F94="","",A94-F94)</x:f>
        <x:v>9</x:v>
      </x:c>
    </x:row>
    <x:row r="95">
      <x:c r="A95">
        <x:v>94</x:v>
      </x:c>
      <x:c r="B95" t="s">
        <x:v>233</x:v>
      </x:c>
      <x:c r="C95" t="s">
        <x:v>234</x:v>
      </x:c>
      <x:c r="D95" t="s">
        <x:v>14</x:v>
      </x:c>
      <x:c r="E95" s="20">
        <x:v>5</x:v>
      </x:c>
      <x:c r="F95">
        <x:v>108</x:v>
      </x:c>
      <x:c r="G95" s="27" t="n">
        <x:f t="shared" si="4">MAX(0,42.71-(0.42*A95))</x:f>
        <x:v>3.230000000000004</x:v>
      </x:c>
      <x:c r="H95" s="27" t="n">
        <x:f t="shared" si="5">IF(E95="","",E95-G95)</x:f>
        <x:v>1.769999999999996</x:v>
      </x:c>
      <x:c r="I95" t="str">
        <x:f t="shared" si="6">IF(E95="","No Auction Value",IF(OR(H95&gt;=8,J95&gt;=15),"🔥 STEAL",IF(OR(H95&gt;=4,J95&gt;=7),"✅ VALUE",IF(OR(H95&gt;=1.5,J95&gt;=3),"👍 SLIGHT VALUE",IF(AND(H95&gt;-1.5,H95&lt;1.5,J95&gt;-3,J95&lt;3),"FAIR",IF(OR(H95&lt;=-5,J95&lt;=-10),"❌ AVOID","⚠️ REACH"))))))</x:f>
        <x:v>👍 SLIGHT VALUE</x:v>
      </x:c>
      <x:c r="J95" s="28" t="n">
        <x:f t="shared" si="7">IF(F95="","",A95-F95)</x:f>
        <x:v>-14</x:v>
      </x:c>
    </x:row>
    <x:row r="96">
      <x:c r="A96">
        <x:v>95</x:v>
      </x:c>
      <x:c r="B96" t="s">
        <x:v>235</x:v>
      </x:c>
      <x:c r="C96" t="s">
        <x:v>236</x:v>
      </x:c>
      <x:c r="D96" t="s">
        <x:v>65</x:v>
      </x:c>
      <x:c r="E96" s="20">
        <x:v>11</x:v>
      </x:c>
      <x:c r="F96">
        <x:v>72</x:v>
      </x:c>
      <x:c r="G96" s="27" t="n">
        <x:f t="shared" si="4">MAX(0,42.71-(0.42*A96))</x:f>
        <x:v>2.8100000000000023</x:v>
      </x:c>
      <x:c r="H96" s="27" t="n">
        <x:f t="shared" si="5">IF(E96="","",E96-G96)</x:f>
        <x:v>8.189999999999998</x:v>
      </x:c>
      <x:c r="I96" t="str">
        <x:f t="shared" si="6">IF(E96="","No Auction Value",IF(OR(H96&gt;=8,J96&gt;=15),"🔥 STEAL",IF(OR(H96&gt;=4,J96&gt;=7),"✅ VALUE",IF(OR(H96&gt;=1.5,J96&gt;=3),"👍 SLIGHT VALUE",IF(AND(H96&gt;-1.5,H96&lt;1.5,J96&gt;-3,J96&lt;3),"FAIR",IF(OR(H96&lt;=-5,J96&lt;=-10),"❌ AVOID","⚠️ REACH"))))))</x:f>
        <x:v>🔥 STEAL</x:v>
      </x:c>
      <x:c r="J96" s="28" t="n">
        <x:f t="shared" si="7">IF(F96="","",A96-F96)</x:f>
        <x:v>23</x:v>
      </x:c>
    </x:row>
    <x:row r="97">
      <x:c r="A97">
        <x:v>96</x:v>
      </x:c>
      <x:c r="B97" t="s">
        <x:v>237</x:v>
      </x:c>
      <x:c r="C97" t="s">
        <x:v>238</x:v>
      </x:c>
      <x:c r="D97" t="s">
        <x:v>9</x:v>
      </x:c>
      <x:c r="E97" s="20">
        <x:v>10</x:v>
      </x:c>
      <x:c r="F97">
        <x:v>76</x:v>
      </x:c>
      <x:c r="G97" s="27" t="n">
        <x:f t="shared" si="4">MAX(0,42.71-(0.42*A97))</x:f>
        <x:v>2.3900000000000006</x:v>
      </x:c>
      <x:c r="H97" s="27" t="n">
        <x:f t="shared" si="5">IF(E97="","",E97-G97)</x:f>
        <x:v>7.609999999999999</x:v>
      </x:c>
      <x:c r="I97" t="str">
        <x:f t="shared" si="6">IF(E97="","No Auction Value",IF(OR(H97&gt;=8,J97&gt;=15),"🔥 STEAL",IF(OR(H97&gt;=4,J97&gt;=7),"✅ VALUE",IF(OR(H97&gt;=1.5,J97&gt;=3),"👍 SLIGHT VALUE",IF(AND(H97&gt;-1.5,H97&lt;1.5,J97&gt;-3,J97&lt;3),"FAIR",IF(OR(H97&lt;=-5,J97&lt;=-10),"❌ AVOID","⚠️ REACH"))))))</x:f>
        <x:v>🔥 STEAL</x:v>
      </x:c>
      <x:c r="J97" s="28" t="n">
        <x:f t="shared" si="7">IF(F97="","",A97-F97)</x:f>
        <x:v>20</x:v>
      </x:c>
    </x:row>
    <x:row r="98">
      <x:c r="A98">
        <x:v>97</x:v>
      </x:c>
      <x:c r="B98" t="s">
        <x:v>239</x:v>
      </x:c>
      <x:c r="C98" t="s">
        <x:v>240</x:v>
      </x:c>
      <x:c r="D98" t="s">
        <x:v>9</x:v>
      </x:c>
      <x:c r="E98" s="20">
        <x:v>6</x:v>
      </x:c>
      <x:c r="F98">
        <x:v>102</x:v>
      </x:c>
      <x:c r="G98" s="27" t="n">
        <x:f t="shared" si="4">MAX(0,42.71-(0.42*A98))</x:f>
        <x:v>1.9699999999999989</x:v>
      </x:c>
      <x:c r="H98" s="27" t="n">
        <x:f t="shared" si="5">IF(E98="","",E98-G98)</x:f>
        <x:v>4.030000000000001</x:v>
      </x:c>
      <x:c r="I98" t="str">
        <x:f t="shared" si="6">IF(E98="","No Auction Value",IF(OR(H98&gt;=8,J98&gt;=15),"🔥 STEAL",IF(OR(H98&gt;=4,J98&gt;=7),"✅ VALUE",IF(OR(H98&gt;=1.5,J98&gt;=3),"👍 SLIGHT VALUE",IF(AND(H98&gt;-1.5,H98&lt;1.5,J98&gt;-3,J98&lt;3),"FAIR",IF(OR(H98&lt;=-5,J98&lt;=-10),"❌ AVOID","⚠️ REACH"))))))</x:f>
        <x:v>✅ VALUE</x:v>
      </x:c>
      <x:c r="J98" s="28" t="n">
        <x:f t="shared" si="7">IF(F98="","",A98-F98)</x:f>
        <x:v>-5</x:v>
      </x:c>
    </x:row>
    <x:row r="99">
      <x:c r="A99">
        <x:v>98</x:v>
      </x:c>
      <x:c r="B99" t="s">
        <x:v>241</x:v>
      </x:c>
      <x:c r="C99" t="s">
        <x:v>242</x:v>
      </x:c>
      <x:c r="D99" t="s">
        <x:v>14</x:v>
      </x:c>
      <x:c r="E99" s="20">
        <x:v>11</x:v>
      </x:c>
      <x:c r="F99">
        <x:v>72</x:v>
      </x:c>
      <x:c r="G99" s="27" t="n">
        <x:f t="shared" si="4">MAX(0,42.71-(0.42*A99))</x:f>
        <x:v>1.5500000000000043</x:v>
      </x:c>
      <x:c r="H99" s="27" t="n">
        <x:f t="shared" si="5">IF(E99="","",E99-G99)</x:f>
        <x:v>9.449999999999996</x:v>
      </x:c>
      <x:c r="I99" t="str">
        <x:f t="shared" si="6">IF(E99="","No Auction Value",IF(OR(H99&gt;=8,J99&gt;=15),"🔥 STEAL",IF(OR(H99&gt;=4,J99&gt;=7),"✅ VALUE",IF(OR(H99&gt;=1.5,J99&gt;=3),"👍 SLIGHT VALUE",IF(AND(H99&gt;-1.5,H99&lt;1.5,J99&gt;-3,J99&lt;3),"FAIR",IF(OR(H99&lt;=-5,J99&lt;=-10),"❌ AVOID","⚠️ REACH"))))))</x:f>
        <x:v>🔥 STEAL</x:v>
      </x:c>
      <x:c r="J99" s="28" t="n">
        <x:f t="shared" si="7">IF(F99="","",A99-F99)</x:f>
        <x:v>26</x:v>
      </x:c>
    </x:row>
    <x:row r="100">
      <x:c r="A100">
        <x:v>99</x:v>
      </x:c>
      <x:c r="B100" t="s">
        <x:v>243</x:v>
      </x:c>
      <x:c r="C100" t="s">
        <x:v>244</x:v>
      </x:c>
      <x:c r="D100" t="s">
        <x:v>14</x:v>
      </x:c>
      <x:c r="E100" s="20">
        <x:v>7</x:v>
      </x:c>
      <x:c r="F100">
        <x:v>92</x:v>
      </x:c>
      <x:c r="G100" s="27" t="n">
        <x:f t="shared" si="4">MAX(0,42.71-(0.42*A100))</x:f>
        <x:v>1.1300000000000026</x:v>
      </x:c>
      <x:c r="H100" s="27" t="n">
        <x:f t="shared" si="5">IF(E100="","",E100-G100)</x:f>
        <x:v>5.869999999999997</x:v>
      </x:c>
      <x:c r="I100" t="str">
        <x:f t="shared" si="6">IF(E100="","No Auction Value",IF(OR(H100&gt;=8,J100&gt;=15),"🔥 STEAL",IF(OR(H100&gt;=4,J100&gt;=7),"✅ VALUE",IF(OR(H100&gt;=1.5,J100&gt;=3),"👍 SLIGHT VALUE",IF(AND(H100&gt;-1.5,H100&lt;1.5,J100&gt;-3,J100&lt;3),"FAIR",IF(OR(H100&lt;=-5,J100&lt;=-10),"❌ AVOID","⚠️ REACH"))))))</x:f>
        <x:v>✅ VALUE</x:v>
      </x:c>
      <x:c r="J100" s="28" t="n">
        <x:f t="shared" si="7">IF(F100="","",A100-F100)</x:f>
        <x:v>7</x:v>
      </x:c>
    </x:row>
    <x:row r="101">
      <x:c r="A101">
        <x:v>100</x:v>
      </x:c>
      <x:c r="B101" t="s">
        <x:v>245</x:v>
      </x:c>
      <x:c r="C101" t="s">
        <x:v>246</x:v>
      </x:c>
      <x:c r="D101" t="s">
        <x:v>65</x:v>
      </x:c>
      <x:c r="E101" s="20">
        <x:v>15</x:v>
      </x:c>
      <x:c r="F101">
        <x:v>54</x:v>
      </x:c>
      <x:c r="G101" s="27" t="n">
        <x:f t="shared" si="4">MAX(0,42.71-(0.42*A101))</x:f>
        <x:v>0.7100000000000009</x:v>
      </x:c>
      <x:c r="H101" s="27" t="n">
        <x:f t="shared" si="5">IF(E101="","",E101-G101)</x:f>
        <x:v>14.29</x:v>
      </x:c>
      <x:c r="I101" t="str">
        <x:f t="shared" si="6">IF(E101="","No Auction Value",IF(OR(H101&gt;=8,J101&gt;=15),"🔥 STEAL",IF(OR(H101&gt;=4,J101&gt;=7),"✅ VALUE",IF(OR(H101&gt;=1.5,J101&gt;=3),"👍 SLIGHT VALUE",IF(AND(H101&gt;-1.5,H101&lt;1.5,J101&gt;-3,J101&lt;3),"FAIR",IF(OR(H101&lt;=-5,J101&lt;=-10),"❌ AVOID","⚠️ REACH"))))))</x:f>
        <x:v>🔥 STEAL</x:v>
      </x:c>
      <x:c r="J101" s="28" t="n">
        <x:f t="shared" si="7">IF(F101="","",A101-F101)</x:f>
        <x:v>46</x:v>
      </x:c>
    </x:row>
    <x:row r="102">
      <x:c r="A102">
        <x:v>101</x:v>
      </x:c>
      <x:c r="B102" t="s">
        <x:v>247</x:v>
      </x:c>
      <x:c r="C102" t="s">
        <x:v>248</x:v>
      </x:c>
      <x:c r="D102" t="s">
        <x:v>116</x:v>
      </x:c>
      <x:c r="E102" s="20">
        <x:v>8</x:v>
      </x:c>
      <x:c r="F102">
        <x:v>84</x:v>
      </x:c>
      <x:c r="G102" s="27" t="n">
        <x:f t="shared" si="4">MAX(0,42.71-(0.42*A102))</x:f>
        <x:v>0.28999999999999915</x:v>
      </x:c>
      <x:c r="H102" s="27" t="n">
        <x:f t="shared" si="5">IF(E102="","",E102-G102)</x:f>
        <x:v>7.710000000000001</x:v>
      </x:c>
      <x:c r="I102" t="str">
        <x:f t="shared" si="6">IF(E102="","No Auction Value",IF(OR(H102&gt;=8,J102&gt;=15),"🔥 STEAL",IF(OR(H102&gt;=4,J102&gt;=7),"✅ VALUE",IF(OR(H102&gt;=1.5,J102&gt;=3),"👍 SLIGHT VALUE",IF(AND(H102&gt;-1.5,H102&lt;1.5,J102&gt;-3,J102&lt;3),"FAIR",IF(OR(H102&lt;=-5,J102&lt;=-10),"❌ AVOID","⚠️ REACH"))))))</x:f>
        <x:v>🔥 STEAL</x:v>
      </x:c>
      <x:c r="J102" s="28" t="n">
        <x:f t="shared" si="7">IF(F102="","",A102-F102)</x:f>
        <x:v>17</x:v>
      </x:c>
    </x:row>
    <x:row r="103">
      <x:c r="A103">
        <x:v>102</x:v>
      </x:c>
      <x:c r="B103" t="s">
        <x:v>249</x:v>
      </x:c>
      <x:c r="C103" t="s">
        <x:v>250</x:v>
      </x:c>
      <x:c r="D103" t="s">
        <x:v>116</x:v>
      </x:c>
      <x:c r="E103" s="20">
        <x:v>2</x:v>
      </x:c>
      <x:c r="F103">
        <x:v>136</x:v>
      </x:c>
      <x:c r="G103" s="27" t="n">
        <x:f t="shared" si="4">MAX(0,42.71-(0.42*A103))</x:f>
        <x:v>0</x:v>
      </x:c>
      <x:c r="H103" s="27" t="n">
        <x:f t="shared" si="5">IF(E103="","",E103-G103)</x:f>
        <x:v>2</x:v>
      </x:c>
      <x:c r="I103" t="str">
        <x:f t="shared" si="6">IF(E103="","No Auction Value",IF(OR(H103&gt;=8,J103&gt;=15),"🔥 STEAL",IF(OR(H103&gt;=4,J103&gt;=7),"✅ VALUE",IF(OR(H103&gt;=1.5,J103&gt;=3),"👍 SLIGHT VALUE",IF(AND(H103&gt;-1.5,H103&lt;1.5,J103&gt;-3,J103&lt;3),"FAIR",IF(OR(H103&lt;=-5,J103&lt;=-10),"❌ AVOID","⚠️ REACH"))))))</x:f>
        <x:v>👍 SLIGHT VALUE</x:v>
      </x:c>
      <x:c r="J103" s="28" t="n">
        <x:f t="shared" si="7">IF(F103="","",A103-F103)</x:f>
        <x:v>-34</x:v>
      </x:c>
    </x:row>
    <x:row r="104">
      <x:c r="A104">
        <x:v>103</x:v>
      </x:c>
      <x:c r="B104" t="s">
        <x:v>251</x:v>
      </x:c>
      <x:c r="C104" t="s">
        <x:v>252</x:v>
      </x:c>
      <x:c r="D104" t="s">
        <x:v>9</x:v>
      </x:c>
      <x:c r="E104" s="20">
        <x:v>10</x:v>
      </x:c>
      <x:c r="F104">
        <x:v>76</x:v>
      </x:c>
      <x:c r="G104" s="27" t="n">
        <x:f t="shared" si="4">MAX(0,42.71-(0.42*A104))</x:f>
        <x:v>0</x:v>
      </x:c>
      <x:c r="H104" s="27" t="n">
        <x:f t="shared" si="5">IF(E104="","",E104-G104)</x:f>
        <x:v>10</x:v>
      </x:c>
      <x:c r="I104" t="str">
        <x:f t="shared" si="6">IF(E104="","No Auction Value",IF(OR(H104&gt;=8,J104&gt;=15),"🔥 STEAL",IF(OR(H104&gt;=4,J104&gt;=7),"✅ VALUE",IF(OR(H104&gt;=1.5,J104&gt;=3),"👍 SLIGHT VALUE",IF(AND(H104&gt;-1.5,H104&lt;1.5,J104&gt;-3,J104&lt;3),"FAIR",IF(OR(H104&lt;=-5,J104&lt;=-10),"❌ AVOID","⚠️ REACH"))))))</x:f>
        <x:v>🔥 STEAL</x:v>
      </x:c>
      <x:c r="J104" s="28" t="n">
        <x:f t="shared" si="7">IF(F104="","",A104-F104)</x:f>
        <x:v>27</x:v>
      </x:c>
    </x:row>
    <x:row r="105">
      <x:c r="A105">
        <x:v>104</x:v>
      </x:c>
      <x:c r="B105" t="s">
        <x:v>253</x:v>
      </x:c>
      <x:c r="C105" t="s">
        <x:v>254</x:v>
      </x:c>
      <x:c r="D105" t="s">
        <x:v>116</x:v>
      </x:c>
      <x:c r="E105" s="20">
        <x:v>0</x:v>
      </x:c>
      <x:c r="F105">
        <x:v>180</x:v>
      </x:c>
      <x:c r="G105" s="27" t="n">
        <x:f t="shared" si="4">MAX(0,42.71-(0.42*A105))</x:f>
        <x:v>0</x:v>
      </x:c>
      <x:c r="H105" s="27" t="str">
        <x:f t="shared" si="5">IF(E105="","",E105-G105)</x:f>
      </x:c>
      <x:c r="I105" t="str">
        <x:f t="shared" si="6">IF(E105="","No Auction Value",IF(OR(H105&gt;=8,J105&gt;=15),"🔥 STEAL",IF(OR(H105&gt;=4,J105&gt;=7),"✅ VALUE",IF(OR(H105&gt;=1.5,J105&gt;=3),"👍 SLIGHT VALUE",IF(AND(H105&gt;-1.5,H105&lt;1.5,J105&gt;-3,J105&lt;3),"FAIR",IF(OR(H105&lt;=-5,J105&lt;=-10),"❌ AVOID","⚠️ REACH"))))))</x:f>
        <x:v>No Auction Value</x:v>
      </x:c>
      <x:c r="J105" s="28" t="n">
        <x:f t="shared" si="7">IF(F105="","",A105-F105)</x:f>
        <x:v>-76</x:v>
      </x:c>
    </x:row>
    <x:row r="106">
      <x:c r="A106">
        <x:v>105</x:v>
      </x:c>
      <x:c r="B106" t="s">
        <x:v>255</x:v>
      </x:c>
      <x:c r="C106" t="s">
        <x:v>256</x:v>
      </x:c>
      <x:c r="D106" t="s">
        <x:v>14</x:v>
      </x:c>
      <x:c r="E106" s="20">
        <x:v>2</x:v>
      </x:c>
      <x:c r="F106">
        <x:v>136</x:v>
      </x:c>
      <x:c r="G106" s="27" t="n">
        <x:f t="shared" si="4">MAX(0,42.71-(0.42*A106))</x:f>
        <x:v>0</x:v>
      </x:c>
      <x:c r="H106" s="27" t="n">
        <x:f t="shared" si="5">IF(E106="","",E106-G106)</x:f>
        <x:v>2</x:v>
      </x:c>
      <x:c r="I106" t="str">
        <x:f t="shared" si="6">IF(E106="","No Auction Value",IF(OR(H106&gt;=8,J106&gt;=15),"🔥 STEAL",IF(OR(H106&gt;=4,J106&gt;=7),"✅ VALUE",IF(OR(H106&gt;=1.5,J106&gt;=3),"👍 SLIGHT VALUE",IF(AND(H106&gt;-1.5,H106&lt;1.5,J106&gt;-3,J106&lt;3),"FAIR",IF(OR(H106&lt;=-5,J106&lt;=-10),"❌ AVOID","⚠️ REACH"))))))</x:f>
        <x:v>👍 SLIGHT VALUE</x:v>
      </x:c>
      <x:c r="J106" s="28" t="n">
        <x:f t="shared" si="7">IF(F106="","",A106-F106)</x:f>
        <x:v>-31</x:v>
      </x:c>
    </x:row>
    <x:row r="107">
      <x:c r="A107">
        <x:v>106</x:v>
      </x:c>
      <x:c r="B107" t="s">
        <x:v>257</x:v>
      </x:c>
      <x:c r="C107" t="s">
        <x:v>258</x:v>
      </x:c>
      <x:c r="D107" t="s">
        <x:v>116</x:v>
      </x:c>
      <x:c r="E107" s="20">
        <x:v>3</x:v>
      </x:c>
      <x:c r="F107">
        <x:v>127</x:v>
      </x:c>
      <x:c r="G107" s="27" t="n">
        <x:f t="shared" si="4">MAX(0,42.71-(0.42*A107))</x:f>
        <x:v>0</x:v>
      </x:c>
      <x:c r="H107" s="27" t="n">
        <x:f t="shared" si="5">IF(E107="","",E107-G107)</x:f>
        <x:v>3</x:v>
      </x:c>
      <x:c r="I107" t="str">
        <x:f t="shared" si="6">IF(E107="","No Auction Value",IF(OR(H107&gt;=8,J107&gt;=15),"🔥 STEAL",IF(OR(H107&gt;=4,J107&gt;=7),"✅ VALUE",IF(OR(H107&gt;=1.5,J107&gt;=3),"👍 SLIGHT VALUE",IF(AND(H107&gt;-1.5,H107&lt;1.5,J107&gt;-3,J107&lt;3),"FAIR",IF(OR(H107&lt;=-5,J107&lt;=-10),"❌ AVOID","⚠️ REACH"))))))</x:f>
        <x:v>👍 SLIGHT VALUE</x:v>
      </x:c>
      <x:c r="J107" s="28" t="n">
        <x:f t="shared" si="7">IF(F107="","",A107-F107)</x:f>
        <x:v>-21</x:v>
      </x:c>
    </x:row>
    <x:row r="108">
      <x:c r="A108">
        <x:v>107</x:v>
      </x:c>
      <x:c r="B108" t="s">
        <x:v>259</x:v>
      </x:c>
      <x:c r="C108" t="s">
        <x:v>260</x:v>
      </x:c>
      <x:c r="D108" t="s">
        <x:v>116</x:v>
      </x:c>
      <x:c r="E108" s="20">
        <x:v>4</x:v>
      </x:c>
      <x:c r="F108">
        <x:v>118</x:v>
      </x:c>
      <x:c r="G108" s="27" t="n">
        <x:f t="shared" si="4">MAX(0,42.71-(0.42*A108))</x:f>
        <x:v>0</x:v>
      </x:c>
      <x:c r="H108" s="27" t="n">
        <x:f t="shared" si="5">IF(E108="","",E108-G108)</x:f>
        <x:v>4</x:v>
      </x:c>
      <x:c r="I108" t="str">
        <x:f t="shared" si="6">IF(E108="","No Auction Value",IF(OR(H108&gt;=8,J108&gt;=15),"🔥 STEAL",IF(OR(H108&gt;=4,J108&gt;=7),"✅ VALUE",IF(OR(H108&gt;=1.5,J108&gt;=3),"👍 SLIGHT VALUE",IF(AND(H108&gt;-1.5,H108&lt;1.5,J108&gt;-3,J108&lt;3),"FAIR",IF(OR(H108&lt;=-5,J108&lt;=-10),"❌ AVOID","⚠️ REACH"))))))</x:f>
        <x:v>✅ VALUE</x:v>
      </x:c>
      <x:c r="J108" s="28" t="n">
        <x:f t="shared" si="7">IF(F108="","",A108-F108)</x:f>
        <x:v>-11</x:v>
      </x:c>
    </x:row>
    <x:row r="109">
      <x:c r="A109">
        <x:v>108</x:v>
      </x:c>
      <x:c r="B109" t="s">
        <x:v>261</x:v>
      </x:c>
      <x:c r="C109" t="s">
        <x:v>262</x:v>
      </x:c>
      <x:c r="D109" t="s">
        <x:v>14</x:v>
      </x:c>
      <x:c r="E109" s="20">
        <x:v>5</x:v>
      </x:c>
      <x:c r="F109">
        <x:v>108</x:v>
      </x:c>
      <x:c r="G109" s="27" t="n">
        <x:f t="shared" si="4">MAX(0,42.71-(0.42*A109))</x:f>
        <x:v>0</x:v>
      </x:c>
      <x:c r="H109" s="27" t="n">
        <x:f t="shared" si="5">IF(E109="","",E109-G109)</x:f>
        <x:v>5</x:v>
      </x:c>
      <x:c r="I109" t="str">
        <x:f t="shared" si="6">IF(E109="","No Auction Value",IF(OR(H109&gt;=8,J109&gt;=15),"🔥 STEAL",IF(OR(H109&gt;=4,J109&gt;=7),"✅ VALUE",IF(OR(H109&gt;=1.5,J109&gt;=3),"👍 SLIGHT VALUE",IF(AND(H109&gt;-1.5,H109&lt;1.5,J109&gt;-3,J109&lt;3),"FAIR",IF(OR(H109&lt;=-5,J109&lt;=-10),"❌ AVOID","⚠️ REACH"))))))</x:f>
        <x:v>✅ VALUE</x:v>
      </x:c>
      <x:c r="J109" s="28" t="n">
        <x:f t="shared" si="7">IF(F109="","",A109-F109)</x:f>
        <x:v>0</x:v>
      </x:c>
    </x:row>
    <x:row r="110">
      <x:c r="A110">
        <x:v>109</x:v>
      </x:c>
      <x:c r="B110" t="s">
        <x:v>263</x:v>
      </x:c>
      <x:c r="C110" t="s">
        <x:v>264</x:v>
      </x:c>
      <x:c r="D110" t="s">
        <x:v>14</x:v>
      </x:c>
      <x:c r="E110" s="20">
        <x:v>12</x:v>
      </x:c>
      <x:c r="F110">
        <x:v>67</x:v>
      </x:c>
      <x:c r="G110" s="27" t="n">
        <x:f t="shared" si="4">MAX(0,42.71-(0.42*A110))</x:f>
        <x:v>0</x:v>
      </x:c>
      <x:c r="H110" s="27" t="n">
        <x:f t="shared" si="5">IF(E110="","",E110-G110)</x:f>
        <x:v>12</x:v>
      </x:c>
      <x:c r="I110" t="str">
        <x:f t="shared" si="6">IF(E110="","No Auction Value",IF(OR(H110&gt;=8,J110&gt;=15),"🔥 STEAL",IF(OR(H110&gt;=4,J110&gt;=7),"✅ VALUE",IF(OR(H110&gt;=1.5,J110&gt;=3),"👍 SLIGHT VALUE",IF(AND(H110&gt;-1.5,H110&lt;1.5,J110&gt;-3,J110&lt;3),"FAIR",IF(OR(H110&lt;=-5,J110&lt;=-10),"❌ AVOID","⚠️ REACH"))))))</x:f>
        <x:v>🔥 STEAL</x:v>
      </x:c>
      <x:c r="J110" s="28" t="n">
        <x:f t="shared" si="7">IF(F110="","",A110-F110)</x:f>
        <x:v>42</x:v>
      </x:c>
    </x:row>
    <x:row r="111">
      <x:c r="A111">
        <x:v>110</x:v>
      </x:c>
      <x:c r="B111" t="s">
        <x:v>265</x:v>
      </x:c>
      <x:c r="C111" t="s">
        <x:v>266</x:v>
      </x:c>
      <x:c r="D111" t="s">
        <x:v>65</x:v>
      </x:c>
      <x:c r="E111" s="20">
        <x:v>11</x:v>
      </x:c>
      <x:c r="F111">
        <x:v>72</x:v>
      </x:c>
      <x:c r="G111" s="27" t="n">
        <x:f t="shared" si="4">MAX(0,42.71-(0.42*A111))</x:f>
        <x:v>0</x:v>
      </x:c>
      <x:c r="H111" s="27" t="n">
        <x:f t="shared" si="5">IF(E111="","",E111-G111)</x:f>
        <x:v>11</x:v>
      </x:c>
      <x:c r="I111" t="str">
        <x:f t="shared" si="6">IF(E111="","No Auction Value",IF(OR(H111&gt;=8,J111&gt;=15),"🔥 STEAL",IF(OR(H111&gt;=4,J111&gt;=7),"✅ VALUE",IF(OR(H111&gt;=1.5,J111&gt;=3),"👍 SLIGHT VALUE",IF(AND(H111&gt;-1.5,H111&lt;1.5,J111&gt;-3,J111&lt;3),"FAIR",IF(OR(H111&lt;=-5,J111&lt;=-10),"❌ AVOID","⚠️ REACH"))))))</x:f>
        <x:v>🔥 STEAL</x:v>
      </x:c>
      <x:c r="J111" s="28" t="n">
        <x:f t="shared" si="7">IF(F111="","",A111-F111)</x:f>
        <x:v>38</x:v>
      </x:c>
    </x:row>
    <x:row r="112">
      <x:c r="A112">
        <x:v>111</x:v>
      </x:c>
      <x:c r="B112" t="s">
        <x:v>267</x:v>
      </x:c>
      <x:c r="C112" t="s">
        <x:v>268</x:v>
      </x:c>
      <x:c r="D112" t="s">
        <x:v>14</x:v>
      </x:c>
      <x:c r="E112" s="20">
        <x:v>8</x:v>
      </x:c>
      <x:c r="F112">
        <x:v>84</x:v>
      </x:c>
      <x:c r="G112" s="27" t="n">
        <x:f t="shared" si="4">MAX(0,42.71-(0.42*A112))</x:f>
        <x:v>0</x:v>
      </x:c>
      <x:c r="H112" s="27" t="n">
        <x:f t="shared" si="5">IF(E112="","",E112-G112)</x:f>
        <x:v>8</x:v>
      </x:c>
      <x:c r="I112" t="str">
        <x:f t="shared" si="6">IF(E112="","No Auction Value",IF(OR(H112&gt;=8,J112&gt;=15),"🔥 STEAL",IF(OR(H112&gt;=4,J112&gt;=7),"✅ VALUE",IF(OR(H112&gt;=1.5,J112&gt;=3),"👍 SLIGHT VALUE",IF(AND(H112&gt;-1.5,H112&lt;1.5,J112&gt;-3,J112&lt;3),"FAIR",IF(OR(H112&lt;=-5,J112&lt;=-10),"❌ AVOID","⚠️ REACH"))))))</x:f>
        <x:v>🔥 STEAL</x:v>
      </x:c>
      <x:c r="J112" s="28" t="n">
        <x:f t="shared" si="7">IF(F112="","",A112-F112)</x:f>
        <x:v>27</x:v>
      </x:c>
    </x:row>
    <x:row r="113">
      <x:c r="A113">
        <x:v>112</x:v>
      </x:c>
      <x:c r="B113" t="s">
        <x:v>269</x:v>
      </x:c>
      <x:c r="C113" t="s">
        <x:v>270</x:v>
      </x:c>
      <x:c r="D113" t="s">
        <x:v>14</x:v>
      </x:c>
      <x:c r="E113" s="20">
        <x:v>5</x:v>
      </x:c>
      <x:c r="F113">
        <x:v>108</x:v>
      </x:c>
      <x:c r="G113" s="27" t="n">
        <x:f t="shared" si="4">MAX(0,42.71-(0.42*A113))</x:f>
        <x:v>0</x:v>
      </x:c>
      <x:c r="H113" s="27" t="n">
        <x:f t="shared" si="5">IF(E113="","",E113-G113)</x:f>
        <x:v>5</x:v>
      </x:c>
      <x:c r="I113" t="str">
        <x:f t="shared" si="6">IF(E113="","No Auction Value",IF(OR(H113&gt;=8,J113&gt;=15),"🔥 STEAL",IF(OR(H113&gt;=4,J113&gt;=7),"✅ VALUE",IF(OR(H113&gt;=1.5,J113&gt;=3),"👍 SLIGHT VALUE",IF(AND(H113&gt;-1.5,H113&lt;1.5,J113&gt;-3,J113&lt;3),"FAIR",IF(OR(H113&lt;=-5,J113&lt;=-10),"❌ AVOID","⚠️ REACH"))))))</x:f>
        <x:v>✅ VALUE</x:v>
      </x:c>
      <x:c r="J113" s="28" t="n">
        <x:f t="shared" si="7">IF(F113="","",A113-F113)</x:f>
        <x:v>4</x:v>
      </x:c>
    </x:row>
    <x:row r="114">
      <x:c r="A114">
        <x:v>113</x:v>
      </x:c>
      <x:c r="B114" t="s">
        <x:v>271</x:v>
      </x:c>
      <x:c r="C114" t="s">
        <x:v>272</x:v>
      </x:c>
      <x:c r="D114" t="s">
        <x:v>116</x:v>
      </x:c>
      <x:c r="E114" s="20">
        <x:v>1</x:v>
      </x:c>
      <x:c r="F114">
        <x:v>150</x:v>
      </x:c>
      <x:c r="G114" s="27" t="n">
        <x:f t="shared" si="4">MAX(0,42.71-(0.42*A114))</x:f>
        <x:v>0</x:v>
      </x:c>
      <x:c r="H114" s="27" t="n">
        <x:f t="shared" si="5">IF(E114="","",E114-G114)</x:f>
        <x:v>1</x:v>
      </x:c>
      <x:c r="I114" t="str">
        <x:f t="shared" si="6">IF(E114="","No Auction Value",IF(OR(H114&gt;=8,J114&gt;=15),"🔥 STEAL",IF(OR(H114&gt;=4,J114&gt;=7),"✅ VALUE",IF(OR(H114&gt;=1.5,J114&gt;=3),"👍 SLIGHT VALUE",IF(AND(H114&gt;-1.5,H114&lt;1.5,J114&gt;-3,J114&lt;3),"FAIR",IF(OR(H114&lt;=-5,J114&lt;=-10),"❌ AVOID","⚠️ REACH"))))))</x:f>
        <x:v>❌ AVOID</x:v>
      </x:c>
      <x:c r="J114" s="28" t="n">
        <x:f t="shared" si="7">IF(F114="","",A114-F114)</x:f>
        <x:v>-37</x:v>
      </x:c>
    </x:row>
    <x:row r="115">
      <x:c r="A115">
        <x:v>114</x:v>
      </x:c>
      <x:c r="B115" t="s">
        <x:v>273</x:v>
      </x:c>
      <x:c r="C115" t="s">
        <x:v>274</x:v>
      </x:c>
      <x:c r="D115" t="s">
        <x:v>14</x:v>
      </x:c>
      <x:c r="E115" s="20">
        <x:v>7</x:v>
      </x:c>
      <x:c r="F115">
        <x:v>92</x:v>
      </x:c>
      <x:c r="G115" s="27" t="n">
        <x:f t="shared" si="4">MAX(0,42.71-(0.42*A115))</x:f>
        <x:v>0</x:v>
      </x:c>
      <x:c r="H115" s="27" t="n">
        <x:f t="shared" si="5">IF(E115="","",E115-G115)</x:f>
        <x:v>7</x:v>
      </x:c>
      <x:c r="I115" t="str">
        <x:f t="shared" si="6">IF(E115="","No Auction Value",IF(OR(H115&gt;=8,J115&gt;=15),"🔥 STEAL",IF(OR(H115&gt;=4,J115&gt;=7),"✅ VALUE",IF(OR(H115&gt;=1.5,J115&gt;=3),"👍 SLIGHT VALUE",IF(AND(H115&gt;-1.5,H115&lt;1.5,J115&gt;-3,J115&lt;3),"FAIR",IF(OR(H115&lt;=-5,J115&lt;=-10),"❌ AVOID","⚠️ REACH"))))))</x:f>
        <x:v>🔥 STEAL</x:v>
      </x:c>
      <x:c r="J115" s="28" t="n">
        <x:f t="shared" si="7">IF(F115="","",A115-F115)</x:f>
        <x:v>22</x:v>
      </x:c>
    </x:row>
    <x:row r="116">
      <x:c r="A116">
        <x:v>115</x:v>
      </x:c>
      <x:c r="B116" t="s">
        <x:v>275</x:v>
      </x:c>
      <x:c r="C116" t="s">
        <x:v>276</x:v>
      </x:c>
      <x:c r="D116" t="s">
        <x:v>65</x:v>
      </x:c>
      <x:c r="E116" s="20">
        <x:v>3</x:v>
      </x:c>
      <x:c r="F116">
        <x:v>127</x:v>
      </x:c>
      <x:c r="G116" s="27" t="n">
        <x:f t="shared" si="4">MAX(0,42.71-(0.42*A116))</x:f>
        <x:v>0</x:v>
      </x:c>
      <x:c r="H116" s="27" t="n">
        <x:f t="shared" si="5">IF(E116="","",E116-G116)</x:f>
        <x:v>3</x:v>
      </x:c>
      <x:c r="I116" t="str">
        <x:f t="shared" si="6">IF(E116="","No Auction Value",IF(OR(H116&gt;=8,J116&gt;=15),"🔥 STEAL",IF(OR(H116&gt;=4,J116&gt;=7),"✅ VALUE",IF(OR(H116&gt;=1.5,J116&gt;=3),"👍 SLIGHT VALUE",IF(AND(H116&gt;-1.5,H116&lt;1.5,J116&gt;-3,J116&lt;3),"FAIR",IF(OR(H116&lt;=-5,J116&lt;=-10),"❌ AVOID","⚠️ REACH"))))))</x:f>
        <x:v>👍 SLIGHT VALUE</x:v>
      </x:c>
      <x:c r="J116" s="28" t="n">
        <x:f t="shared" si="7">IF(F116="","",A116-F116)</x:f>
        <x:v>-12</x:v>
      </x:c>
    </x:row>
    <x:row r="117">
      <x:c r="A117">
        <x:v>116</x:v>
      </x:c>
      <x:c r="B117" t="s">
        <x:v>277</x:v>
      </x:c>
      <x:c r="C117" t="s">
        <x:v>278</x:v>
      </x:c>
      <x:c r="D117" t="s">
        <x:v>9</x:v>
      </x:c>
      <x:c r="E117" s="20">
        <x:v>6</x:v>
      </x:c>
      <x:c r="F117">
        <x:v>102</x:v>
      </x:c>
      <x:c r="G117" s="27" t="n">
        <x:f t="shared" si="4">MAX(0,42.71-(0.42*A117))</x:f>
        <x:v>0</x:v>
      </x:c>
      <x:c r="H117" s="27" t="n">
        <x:f t="shared" si="5">IF(E117="","",E117-G117)</x:f>
        <x:v>6</x:v>
      </x:c>
      <x:c r="I117" t="str">
        <x:f t="shared" si="6">IF(E117="","No Auction Value",IF(OR(H117&gt;=8,J117&gt;=15),"🔥 STEAL",IF(OR(H117&gt;=4,J117&gt;=7),"✅ VALUE",IF(OR(H117&gt;=1.5,J117&gt;=3),"👍 SLIGHT VALUE",IF(AND(H117&gt;-1.5,H117&lt;1.5,J117&gt;-3,J117&lt;3),"FAIR",IF(OR(H117&lt;=-5,J117&lt;=-10),"❌ AVOID","⚠️ REACH"))))))</x:f>
        <x:v>✅ VALUE</x:v>
      </x:c>
      <x:c r="J117" s="28" t="n">
        <x:f t="shared" si="7">IF(F117="","",A117-F117)</x:f>
        <x:v>14</x:v>
      </x:c>
    </x:row>
    <x:row r="118">
      <x:c r="A118">
        <x:v>117</x:v>
      </x:c>
      <x:c r="B118" t="s">
        <x:v>279</x:v>
      </x:c>
      <x:c r="C118" t="s">
        <x:v>280</x:v>
      </x:c>
      <x:c r="D118" t="s">
        <x:v>14</x:v>
      </x:c>
      <x:c r="E118" s="20">
        <x:v>4</x:v>
      </x:c>
      <x:c r="F118">
        <x:v>118</x:v>
      </x:c>
      <x:c r="G118" s="27" t="n">
        <x:f t="shared" si="4">MAX(0,42.71-(0.42*A118))</x:f>
        <x:v>0</x:v>
      </x:c>
      <x:c r="H118" s="27" t="n">
        <x:f t="shared" si="5">IF(E118="","",E118-G118)</x:f>
        <x:v>4</x:v>
      </x:c>
      <x:c r="I118" t="str">
        <x:f t="shared" si="6">IF(E118="","No Auction Value",IF(OR(H118&gt;=8,J118&gt;=15),"🔥 STEAL",IF(OR(H118&gt;=4,J118&gt;=7),"✅ VALUE",IF(OR(H118&gt;=1.5,J118&gt;=3),"👍 SLIGHT VALUE",IF(AND(H118&gt;-1.5,H118&lt;1.5,J118&gt;-3,J118&lt;3),"FAIR",IF(OR(H118&lt;=-5,J118&lt;=-10),"❌ AVOID","⚠️ REACH"))))))</x:f>
        <x:v>✅ VALUE</x:v>
      </x:c>
      <x:c r="J118" s="28" t="n">
        <x:f t="shared" si="7">IF(F118="","",A118-F118)</x:f>
        <x:v>-1</x:v>
      </x:c>
    </x:row>
    <x:row r="119">
      <x:c r="A119">
        <x:v>118</x:v>
      </x:c>
      <x:c r="B119" t="s">
        <x:v>281</x:v>
      </x:c>
      <x:c r="C119" t="s">
        <x:v>282</x:v>
      </x:c>
      <x:c r="D119" t="s">
        <x:v>9</x:v>
      </x:c>
      <x:c r="E119" s="20">
        <x:v>6</x:v>
      </x:c>
      <x:c r="F119">
        <x:v>102</x:v>
      </x:c>
      <x:c r="G119" s="27" t="n">
        <x:f t="shared" si="4">MAX(0,42.71-(0.42*A119))</x:f>
        <x:v>0</x:v>
      </x:c>
      <x:c r="H119" s="27" t="n">
        <x:f t="shared" si="5">IF(E119="","",E119-G119)</x:f>
        <x:v>6</x:v>
      </x:c>
      <x:c r="I119" t="str">
        <x:f t="shared" si="6">IF(E119="","No Auction Value",IF(OR(H119&gt;=8,J119&gt;=15),"🔥 STEAL",IF(OR(H119&gt;=4,J119&gt;=7),"✅ VALUE",IF(OR(H119&gt;=1.5,J119&gt;=3),"👍 SLIGHT VALUE",IF(AND(H119&gt;-1.5,H119&lt;1.5,J119&gt;-3,J119&lt;3),"FAIR",IF(OR(H119&lt;=-5,J119&lt;=-10),"❌ AVOID","⚠️ REACH"))))))</x:f>
        <x:v>🔥 STEAL</x:v>
      </x:c>
      <x:c r="J119" s="28" t="n">
        <x:f t="shared" si="7">IF(F119="","",A119-F119)</x:f>
        <x:v>16</x:v>
      </x:c>
    </x:row>
    <x:row r="120">
      <x:c r="A120">
        <x:v>119</x:v>
      </x:c>
      <x:c r="B120" t="s">
        <x:v>283</x:v>
      </x:c>
      <x:c r="C120" t="s">
        <x:v>284</x:v>
      </x:c>
      <x:c r="D120" t="s">
        <x:v>14</x:v>
      </x:c>
      <x:c r="E120" s="20">
        <x:v>4</x:v>
      </x:c>
      <x:c r="F120">
        <x:v>118</x:v>
      </x:c>
      <x:c r="G120" s="27" t="n">
        <x:f t="shared" si="4">MAX(0,42.71-(0.42*A120))</x:f>
        <x:v>0</x:v>
      </x:c>
      <x:c r="H120" s="27" t="n">
        <x:f t="shared" si="5">IF(E120="","",E120-G120)</x:f>
        <x:v>4</x:v>
      </x:c>
      <x:c r="I120" t="str">
        <x:f t="shared" si="6">IF(E120="","No Auction Value",IF(OR(H120&gt;=8,J120&gt;=15),"🔥 STEAL",IF(OR(H120&gt;=4,J120&gt;=7),"✅ VALUE",IF(OR(H120&gt;=1.5,J120&gt;=3),"👍 SLIGHT VALUE",IF(AND(H120&gt;-1.5,H120&lt;1.5,J120&gt;-3,J120&lt;3),"FAIR",IF(OR(H120&lt;=-5,J120&lt;=-10),"❌ AVOID","⚠️ REACH"))))))</x:f>
        <x:v>✅ VALUE</x:v>
      </x:c>
      <x:c r="J120" s="28" t="n">
        <x:f t="shared" si="7">IF(F120="","",A120-F120)</x:f>
        <x:v>1</x:v>
      </x:c>
    </x:row>
    <x:row r="121">
      <x:c r="A121">
        <x:v>120</x:v>
      </x:c>
      <x:c r="B121" t="s">
        <x:v>285</x:v>
      </x:c>
      <x:c r="C121" t="s">
        <x:v>286</x:v>
      </x:c>
      <x:c r="D121" t="s">
        <x:v>65</x:v>
      </x:c>
      <x:c r="E121" s="20">
        <x:v>10</x:v>
      </x:c>
      <x:c r="F121">
        <x:v>76</x:v>
      </x:c>
      <x:c r="G121" s="27" t="n">
        <x:f t="shared" si="4">MAX(0,42.71-(0.42*A121))</x:f>
        <x:v>0</x:v>
      </x:c>
      <x:c r="H121" s="27" t="n">
        <x:f t="shared" si="5">IF(E121="","",E121-G121)</x:f>
        <x:v>10</x:v>
      </x:c>
      <x:c r="I121" t="str">
        <x:f t="shared" si="6">IF(E121="","No Auction Value",IF(OR(H121&gt;=8,J121&gt;=15),"🔥 STEAL",IF(OR(H121&gt;=4,J121&gt;=7),"✅ VALUE",IF(OR(H121&gt;=1.5,J121&gt;=3),"👍 SLIGHT VALUE",IF(AND(H121&gt;-1.5,H121&lt;1.5,J121&gt;-3,J121&lt;3),"FAIR",IF(OR(H121&lt;=-5,J121&lt;=-10),"❌ AVOID","⚠️ REACH"))))))</x:f>
        <x:v>🔥 STEAL</x:v>
      </x:c>
      <x:c r="J121" s="28" t="n">
        <x:f t="shared" si="7">IF(F121="","",A121-F121)</x:f>
        <x:v>44</x:v>
      </x:c>
    </x:row>
    <x:row r="122">
      <x:c r="A122">
        <x:v>121</x:v>
      </x:c>
      <x:c r="B122" t="s">
        <x:v>287</x:v>
      </x:c>
      <x:c r="C122" t="s">
        <x:v>288</x:v>
      </x:c>
      <x:c r="D122" t="s">
        <x:v>14</x:v>
      </x:c>
      <x:c r="E122" s="20">
        <x:v>5</x:v>
      </x:c>
      <x:c r="F122">
        <x:v>108</x:v>
      </x:c>
      <x:c r="G122" s="27" t="n">
        <x:f t="shared" si="4">MAX(0,42.71-(0.42*A122))</x:f>
        <x:v>0</x:v>
      </x:c>
      <x:c r="H122" s="27" t="n">
        <x:f t="shared" si="5">IF(E122="","",E122-G122)</x:f>
        <x:v>5</x:v>
      </x:c>
      <x:c r="I122" t="str">
        <x:f t="shared" si="6">IF(E122="","No Auction Value",IF(OR(H122&gt;=8,J122&gt;=15),"🔥 STEAL",IF(OR(H122&gt;=4,J122&gt;=7),"✅ VALUE",IF(OR(H122&gt;=1.5,J122&gt;=3),"👍 SLIGHT VALUE",IF(AND(H122&gt;-1.5,H122&lt;1.5,J122&gt;-3,J122&lt;3),"FAIR",IF(OR(H122&lt;=-5,J122&lt;=-10),"❌ AVOID","⚠️ REACH"))))))</x:f>
        <x:v>✅ VALUE</x:v>
      </x:c>
      <x:c r="J122" s="28" t="n">
        <x:f t="shared" si="7">IF(F122="","",A122-F122)</x:f>
        <x:v>13</x:v>
      </x:c>
    </x:row>
    <x:row r="123">
      <x:c r="A123">
        <x:v>122</x:v>
      </x:c>
      <x:c r="B123" t="s">
        <x:v>289</x:v>
      </x:c>
      <x:c r="C123" t="s">
        <x:v>290</x:v>
      </x:c>
      <x:c r="D123" t="s">
        <x:v>14</x:v>
      </x:c>
      <x:c r="E123" s="20">
        <x:v>4</x:v>
      </x:c>
      <x:c r="F123">
        <x:v>118</x:v>
      </x:c>
      <x:c r="G123" s="27" t="n">
        <x:f t="shared" si="4">MAX(0,42.71-(0.42*A123))</x:f>
        <x:v>0</x:v>
      </x:c>
      <x:c r="H123" s="27" t="n">
        <x:f t="shared" si="5">IF(E123="","",E123-G123)</x:f>
        <x:v>4</x:v>
      </x:c>
      <x:c r="I123" t="str">
        <x:f t="shared" si="6">IF(E123="","No Auction Value",IF(OR(H123&gt;=8,J123&gt;=15),"🔥 STEAL",IF(OR(H123&gt;=4,J123&gt;=7),"✅ VALUE",IF(OR(H123&gt;=1.5,J123&gt;=3),"👍 SLIGHT VALUE",IF(AND(H123&gt;-1.5,H123&lt;1.5,J123&gt;-3,J123&lt;3),"FAIR",IF(OR(H123&lt;=-5,J123&lt;=-10),"❌ AVOID","⚠️ REACH"))))))</x:f>
        <x:v>✅ VALUE</x:v>
      </x:c>
      <x:c r="J123" s="28" t="n">
        <x:f t="shared" si="7">IF(F123="","",A123-F123)</x:f>
        <x:v>4</x:v>
      </x:c>
    </x:row>
    <x:row r="124">
      <x:c r="A124">
        <x:v>123</x:v>
      </x:c>
      <x:c r="B124" t="s">
        <x:v>291</x:v>
      </x:c>
      <x:c r="C124" t="s">
        <x:v>292</x:v>
      </x:c>
      <x:c r="D124" t="s">
        <x:v>65</x:v>
      </x:c>
      <x:c r="E124" s="20">
        <x:v>9</x:v>
      </x:c>
      <x:c r="F124">
        <x:v>81</x:v>
      </x:c>
      <x:c r="G124" s="27" t="n">
        <x:f t="shared" si="4">MAX(0,42.71-(0.42*A124))</x:f>
        <x:v>0</x:v>
      </x:c>
      <x:c r="H124" s="27" t="n">
        <x:f t="shared" si="5">IF(E124="","",E124-G124)</x:f>
        <x:v>9</x:v>
      </x:c>
      <x:c r="I124" t="str">
        <x:f t="shared" si="6">IF(E124="","No Auction Value",IF(OR(H124&gt;=8,J124&gt;=15),"🔥 STEAL",IF(OR(H124&gt;=4,J124&gt;=7),"✅ VALUE",IF(OR(H124&gt;=1.5,J124&gt;=3),"👍 SLIGHT VALUE",IF(AND(H124&gt;-1.5,H124&lt;1.5,J124&gt;-3,J124&lt;3),"FAIR",IF(OR(H124&lt;=-5,J124&lt;=-10),"❌ AVOID","⚠️ REACH"))))))</x:f>
        <x:v>🔥 STEAL</x:v>
      </x:c>
      <x:c r="J124" s="28" t="n">
        <x:f t="shared" si="7">IF(F124="","",A124-F124)</x:f>
        <x:v>42</x:v>
      </x:c>
    </x:row>
    <x:row r="125">
      <x:c r="A125">
        <x:v>124</x:v>
      </x:c>
      <x:c r="B125" t="s">
        <x:v>293</x:v>
      </x:c>
      <x:c r="C125" t="s">
        <x:v>294</x:v>
      </x:c>
      <x:c r="D125" t="s">
        <x:v>9</x:v>
      </x:c>
      <x:c r="E125" s="20">
        <x:v>8</x:v>
      </x:c>
      <x:c r="F125">
        <x:v>84</x:v>
      </x:c>
      <x:c r="G125" s="27" t="n">
        <x:f t="shared" si="4">MAX(0,42.71-(0.42*A125))</x:f>
        <x:v>0</x:v>
      </x:c>
      <x:c r="H125" s="27" t="n">
        <x:f t="shared" si="5">IF(E125="","",E125-G125)</x:f>
        <x:v>8</x:v>
      </x:c>
      <x:c r="I125" t="str">
        <x:f t="shared" si="6">IF(E125="","No Auction Value",IF(OR(H125&gt;=8,J125&gt;=15),"🔥 STEAL",IF(OR(H125&gt;=4,J125&gt;=7),"✅ VALUE",IF(OR(H125&gt;=1.5,J125&gt;=3),"👍 SLIGHT VALUE",IF(AND(H125&gt;-1.5,H125&lt;1.5,J125&gt;-3,J125&lt;3),"FAIR",IF(OR(H125&lt;=-5,J125&lt;=-10),"❌ AVOID","⚠️ REACH"))))))</x:f>
        <x:v>🔥 STEAL</x:v>
      </x:c>
      <x:c r="J125" s="28" t="n">
        <x:f t="shared" si="7">IF(F125="","",A125-F125)</x:f>
        <x:v>40</x:v>
      </x:c>
    </x:row>
    <x:row r="126">
      <x:c r="A126">
        <x:v>125</x:v>
      </x:c>
      <x:c r="B126" t="s">
        <x:v>295</x:v>
      </x:c>
      <x:c r="C126" t="s">
        <x:v>296</x:v>
      </x:c>
      <x:c r="D126" t="s">
        <x:v>9</x:v>
      </x:c>
      <x:c r="E126" s="20">
        <x:v>7</x:v>
      </x:c>
      <x:c r="F126">
        <x:v>92</x:v>
      </x:c>
      <x:c r="G126" s="27" t="n">
        <x:f t="shared" si="4">MAX(0,42.71-(0.42*A126))</x:f>
        <x:v>0</x:v>
      </x:c>
      <x:c r="H126" s="27" t="n">
        <x:f t="shared" si="5">IF(E126="","",E126-G126)</x:f>
        <x:v>7</x:v>
      </x:c>
      <x:c r="I126" t="str">
        <x:f t="shared" si="6">IF(E126="","No Auction Value",IF(OR(H126&gt;=8,J126&gt;=15),"🔥 STEAL",IF(OR(H126&gt;=4,J126&gt;=7),"✅ VALUE",IF(OR(H126&gt;=1.5,J126&gt;=3),"👍 SLIGHT VALUE",IF(AND(H126&gt;-1.5,H126&lt;1.5,J126&gt;-3,J126&lt;3),"FAIR",IF(OR(H126&lt;=-5,J126&lt;=-10),"❌ AVOID","⚠️ REACH"))))))</x:f>
        <x:v>🔥 STEAL</x:v>
      </x:c>
      <x:c r="J126" s="28" t="n">
        <x:f t="shared" si="7">IF(F126="","",A126-F126)</x:f>
        <x:v>33</x:v>
      </x:c>
    </x:row>
    <x:row r="127">
      <x:c r="A127">
        <x:v>126</x:v>
      </x:c>
      <x:c r="B127" t="s">
        <x:v>297</x:v>
      </x:c>
      <x:c r="C127" t="s">
        <x:v>298</x:v>
      </x:c>
      <x:c r="D127" t="s">
        <x:v>116</x:v>
      </x:c>
      <x:c r="E127" s="20">
        <x:v>1</x:v>
      </x:c>
      <x:c r="F127">
        <x:v>150</x:v>
      </x:c>
      <x:c r="G127" s="27" t="n">
        <x:f t="shared" si="4">MAX(0,42.71-(0.42*A127))</x:f>
        <x:v>0</x:v>
      </x:c>
      <x:c r="H127" s="27" t="n">
        <x:f t="shared" si="5">IF(E127="","",E127-G127)</x:f>
        <x:v>1</x:v>
      </x:c>
      <x:c r="I127" t="str">
        <x:f t="shared" si="6">IF(E127="","No Auction Value",IF(OR(H127&gt;=8,J127&gt;=15),"🔥 STEAL",IF(OR(H127&gt;=4,J127&gt;=7),"✅ VALUE",IF(OR(H127&gt;=1.5,J127&gt;=3),"👍 SLIGHT VALUE",IF(AND(H127&gt;-1.5,H127&lt;1.5,J127&gt;-3,J127&lt;3),"FAIR",IF(OR(H127&lt;=-5,J127&lt;=-10),"❌ AVOID","⚠️ REACH"))))))</x:f>
        <x:v>❌ AVOID</x:v>
      </x:c>
      <x:c r="J127" s="28" t="n">
        <x:f t="shared" si="7">IF(F127="","",A127-F127)</x:f>
        <x:v>-24</x:v>
      </x:c>
    </x:row>
    <x:row r="128">
      <x:c r="A128">
        <x:v>127</x:v>
      </x:c>
      <x:c r="B128" t="s">
        <x:v>299</x:v>
      </x:c>
      <x:c r="C128" t="s">
        <x:v>300</x:v>
      </x:c>
      <x:c r="D128" t="s">
        <x:v>116</x:v>
      </x:c>
      <x:c r="E128" s="20">
        <x:v>0</x:v>
      </x:c>
      <x:c r="F128">
        <x:v>180</x:v>
      </x:c>
      <x:c r="G128" s="27" t="n">
        <x:f t="shared" si="4">MAX(0,42.71-(0.42*A128))</x:f>
        <x:v>0</x:v>
      </x:c>
      <x:c r="H128" s="27" t="str">
        <x:f t="shared" si="5">IF(E128="","",E128-G128)</x:f>
      </x:c>
      <x:c r="I128" t="str">
        <x:f t="shared" si="6">IF(E128="","No Auction Value",IF(OR(H128&gt;=8,J128&gt;=15),"🔥 STEAL",IF(OR(H128&gt;=4,J128&gt;=7),"✅ VALUE",IF(OR(H128&gt;=1.5,J128&gt;=3),"👍 SLIGHT VALUE",IF(AND(H128&gt;-1.5,H128&lt;1.5,J128&gt;-3,J128&lt;3),"FAIR",IF(OR(H128&lt;=-5,J128&lt;=-10),"❌ AVOID","⚠️ REACH"))))))</x:f>
        <x:v>No Auction Value</x:v>
      </x:c>
      <x:c r="J128" s="28" t="n">
        <x:f t="shared" si="7">IF(F128="","",A128-F128)</x:f>
        <x:v>-53</x:v>
      </x:c>
    </x:row>
    <x:row r="129">
      <x:c r="A129">
        <x:v>128</x:v>
      </x:c>
      <x:c r="B129" t="s">
        <x:v>301</x:v>
      </x:c>
      <x:c r="C129" t="s">
        <x:v>302</x:v>
      </x:c>
      <x:c r="D129" t="s">
        <x:v>65</x:v>
      </x:c>
      <x:c r="E129" s="20">
        <x:v>10</x:v>
      </x:c>
      <x:c r="F129">
        <x:v>76</x:v>
      </x:c>
      <x:c r="G129" s="27" t="n">
        <x:f t="shared" si="4">MAX(0,42.71-(0.42*A129))</x:f>
        <x:v>0</x:v>
      </x:c>
      <x:c r="H129" s="27" t="n">
        <x:f t="shared" si="5">IF(E129="","",E129-G129)</x:f>
        <x:v>10</x:v>
      </x:c>
      <x:c r="I129" t="str">
        <x:f t="shared" si="6">IF(E129="","No Auction Value",IF(OR(H129&gt;=8,J129&gt;=15),"🔥 STEAL",IF(OR(H129&gt;=4,J129&gt;=7),"✅ VALUE",IF(OR(H129&gt;=1.5,J129&gt;=3),"👍 SLIGHT VALUE",IF(AND(H129&gt;-1.5,H129&lt;1.5,J129&gt;-3,J129&lt;3),"FAIR",IF(OR(H129&lt;=-5,J129&lt;=-10),"❌ AVOID","⚠️ REACH"))))))</x:f>
        <x:v>🔥 STEAL</x:v>
      </x:c>
      <x:c r="J129" s="28" t="n">
        <x:f t="shared" si="7">IF(F129="","",A129-F129)</x:f>
        <x:v>52</x:v>
      </x:c>
    </x:row>
    <x:row r="130">
      <x:c r="A130">
        <x:v>129</x:v>
      </x:c>
      <x:c r="B130" t="s">
        <x:v>303</x:v>
      </x:c>
      <x:c r="C130" t="s">
        <x:v>304</x:v>
      </x:c>
      <x:c r="D130" t="s">
        <x:v>14</x:v>
      </x:c>
      <x:c r="E130" s="20">
        <x:v>4</x:v>
      </x:c>
      <x:c r="F130">
        <x:v>118</x:v>
      </x:c>
      <x:c r="G130" s="27" t="n">
        <x:f t="shared" ref="G130:G193" si="8">MAX(0,42.71-(0.42*A130))</x:f>
        <x:v>0</x:v>
      </x:c>
      <x:c r="H130" s="27" t="n">
        <x:f t="shared" ref="H130:H193" si="9">IF(E130="","",E130-G130)</x:f>
        <x:v>4</x:v>
      </x:c>
      <x:c r="I130" t="str">
        <x:f t="shared" ref="I130:I193" si="10">IF(E130="","No Auction Value",IF(OR(H130&gt;=8,J130&gt;=15),"🔥 STEAL",IF(OR(H130&gt;=4,J130&gt;=7),"✅ VALUE",IF(OR(H130&gt;=1.5,J130&gt;=3),"👍 SLIGHT VALUE",IF(AND(H130&gt;-1.5,H130&lt;1.5,J130&gt;-3,J130&lt;3),"FAIR",IF(OR(H130&lt;=-5,J130&lt;=-10),"❌ AVOID","⚠️ REACH"))))))</x:f>
        <x:v>✅ VALUE</x:v>
      </x:c>
      <x:c r="J130" s="28" t="n">
        <x:f t="shared" ref="J130:J193" si="11">IF(F130="","",A130-F130)</x:f>
        <x:v>11</x:v>
      </x:c>
    </x:row>
    <x:row r="131">
      <x:c r="A131">
        <x:v>130</x:v>
      </x:c>
      <x:c r="B131" t="s">
        <x:v>305</x:v>
      </x:c>
      <x:c r="C131" t="s">
        <x:v>306</x:v>
      </x:c>
      <x:c r="D131" t="s">
        <x:v>65</x:v>
      </x:c>
      <x:c r="E131" s="20">
        <x:v>4</x:v>
      </x:c>
      <x:c r="F131">
        <x:v>118</x:v>
      </x:c>
      <x:c r="G131" s="27" t="n">
        <x:f t="shared" si="8">MAX(0,42.71-(0.42*A131))</x:f>
        <x:v>0</x:v>
      </x:c>
      <x:c r="H131" s="27" t="n">
        <x:f t="shared" si="9">IF(E131="","",E131-G131)</x:f>
        <x:v>4</x:v>
      </x:c>
      <x:c r="I131" t="str">
        <x:f t="shared" si="10">IF(E131="","No Auction Value",IF(OR(H131&gt;=8,J131&gt;=15),"🔥 STEAL",IF(OR(H131&gt;=4,J131&gt;=7),"✅ VALUE",IF(OR(H131&gt;=1.5,J131&gt;=3),"👍 SLIGHT VALUE",IF(AND(H131&gt;-1.5,H131&lt;1.5,J131&gt;-3,J131&lt;3),"FAIR",IF(OR(H131&lt;=-5,J131&lt;=-10),"❌ AVOID","⚠️ REACH"))))))</x:f>
        <x:v>✅ VALUE</x:v>
      </x:c>
      <x:c r="J131" s="28" t="n">
        <x:f t="shared" si="11">IF(F131="","",A131-F131)</x:f>
        <x:v>12</x:v>
      </x:c>
    </x:row>
    <x:row r="132">
      <x:c r="A132">
        <x:v>131</x:v>
      </x:c>
      <x:c r="B132" t="s">
        <x:v>307</x:v>
      </x:c>
      <x:c r="C132" t="s">
        <x:v>308</x:v>
      </x:c>
      <x:c r="D132" t="s">
        <x:v>65</x:v>
      </x:c>
      <x:c r="E132" s="20">
        <x:v>5</x:v>
      </x:c>
      <x:c r="F132">
        <x:v>108</x:v>
      </x:c>
      <x:c r="G132" s="27" t="n">
        <x:f t="shared" si="8">MAX(0,42.71-(0.42*A132))</x:f>
        <x:v>0</x:v>
      </x:c>
      <x:c r="H132" s="27" t="n">
        <x:f t="shared" si="9">IF(E132="","",E132-G132)</x:f>
        <x:v>5</x:v>
      </x:c>
      <x:c r="I132" t="str">
        <x:f t="shared" si="10">IF(E132="","No Auction Value",IF(OR(H132&gt;=8,J132&gt;=15),"🔥 STEAL",IF(OR(H132&gt;=4,J132&gt;=7),"✅ VALUE",IF(OR(H132&gt;=1.5,J132&gt;=3),"👍 SLIGHT VALUE",IF(AND(H132&gt;-1.5,H132&lt;1.5,J132&gt;-3,J132&lt;3),"FAIR",IF(OR(H132&lt;=-5,J132&lt;=-10),"❌ AVOID","⚠️ REACH"))))))</x:f>
        <x:v>🔥 STEAL</x:v>
      </x:c>
      <x:c r="J132" s="28" t="n">
        <x:f t="shared" si="11">IF(F132="","",A132-F132)</x:f>
        <x:v>23</x:v>
      </x:c>
    </x:row>
    <x:row r="133">
      <x:c r="A133">
        <x:v>132</x:v>
      </x:c>
      <x:c r="B133" t="s">
        <x:v>309</x:v>
      </x:c>
      <x:c r="C133" t="s">
        <x:v>310</x:v>
      </x:c>
      <x:c r="D133" t="s">
        <x:v>14</x:v>
      </x:c>
      <x:c r="E133" s="20">
        <x:v>3</x:v>
      </x:c>
      <x:c r="F133">
        <x:v>127</x:v>
      </x:c>
      <x:c r="G133" s="27" t="n">
        <x:f t="shared" si="8">MAX(0,42.71-(0.42*A133))</x:f>
        <x:v>0</x:v>
      </x:c>
      <x:c r="H133" s="27" t="n">
        <x:f t="shared" si="9">IF(E133="","",E133-G133)</x:f>
        <x:v>3</x:v>
      </x:c>
      <x:c r="I133" t="str">
        <x:f t="shared" si="10">IF(E133="","No Auction Value",IF(OR(H133&gt;=8,J133&gt;=15),"🔥 STEAL",IF(OR(H133&gt;=4,J133&gt;=7),"✅ VALUE",IF(OR(H133&gt;=1.5,J133&gt;=3),"👍 SLIGHT VALUE",IF(AND(H133&gt;-1.5,H133&lt;1.5,J133&gt;-3,J133&lt;3),"FAIR",IF(OR(H133&lt;=-5,J133&lt;=-10),"❌ AVOID","⚠️ REACH"))))))</x:f>
        <x:v>👍 SLIGHT VALUE</x:v>
      </x:c>
      <x:c r="J133" s="28" t="n">
        <x:f t="shared" si="11">IF(F133="","",A133-F133)</x:f>
        <x:v>5</x:v>
      </x:c>
    </x:row>
    <x:row r="134">
      <x:c r="A134">
        <x:v>133</x:v>
      </x:c>
      <x:c r="B134" t="s">
        <x:v>311</x:v>
      </x:c>
      <x:c r="C134" t="s">
        <x:v>312</x:v>
      </x:c>
      <x:c r="D134" t="s">
        <x:v>65</x:v>
      </x:c>
      <x:c r="E134" s="20">
        <x:v>5</x:v>
      </x:c>
      <x:c r="F134">
        <x:v>108</x:v>
      </x:c>
      <x:c r="G134" s="27" t="n">
        <x:f t="shared" si="8">MAX(0,42.71-(0.42*A134))</x:f>
        <x:v>0</x:v>
      </x:c>
      <x:c r="H134" s="27" t="n">
        <x:f t="shared" si="9">IF(E134="","",E134-G134)</x:f>
        <x:v>5</x:v>
      </x:c>
      <x:c r="I134" t="str">
        <x:f t="shared" si="10">IF(E134="","No Auction Value",IF(OR(H134&gt;=8,J134&gt;=15),"🔥 STEAL",IF(OR(H134&gt;=4,J134&gt;=7),"✅ VALUE",IF(OR(H134&gt;=1.5,J134&gt;=3),"👍 SLIGHT VALUE",IF(AND(H134&gt;-1.5,H134&lt;1.5,J134&gt;-3,J134&lt;3),"FAIR",IF(OR(H134&lt;=-5,J134&lt;=-10),"❌ AVOID","⚠️ REACH"))))))</x:f>
        <x:v>🔥 STEAL</x:v>
      </x:c>
      <x:c r="J134" s="28" t="n">
        <x:f t="shared" si="11">IF(F134="","",A134-F134)</x:f>
        <x:v>25</x:v>
      </x:c>
    </x:row>
    <x:row r="135">
      <x:c r="A135">
        <x:v>134</x:v>
      </x:c>
      <x:c r="B135" t="s">
        <x:v>313</x:v>
      </x:c>
      <x:c r="C135" t="s">
        <x:v>314</x:v>
      </x:c>
      <x:c r="D135" t="s">
        <x:v>9</x:v>
      </x:c>
      <x:c r="E135" s="20">
        <x:v>8</x:v>
      </x:c>
      <x:c r="F135">
        <x:v>84</x:v>
      </x:c>
      <x:c r="G135" s="27" t="n">
        <x:f t="shared" si="8">MAX(0,42.71-(0.42*A135))</x:f>
        <x:v>0</x:v>
      </x:c>
      <x:c r="H135" s="27" t="n">
        <x:f t="shared" si="9">IF(E135="","",E135-G135)</x:f>
        <x:v>8</x:v>
      </x:c>
      <x:c r="I135" t="str">
        <x:f t="shared" si="10">IF(E135="","No Auction Value",IF(OR(H135&gt;=8,J135&gt;=15),"🔥 STEAL",IF(OR(H135&gt;=4,J135&gt;=7),"✅ VALUE",IF(OR(H135&gt;=1.5,J135&gt;=3),"👍 SLIGHT VALUE",IF(AND(H135&gt;-1.5,H135&lt;1.5,J135&gt;-3,J135&lt;3),"FAIR",IF(OR(H135&lt;=-5,J135&lt;=-10),"❌ AVOID","⚠️ REACH"))))))</x:f>
        <x:v>🔥 STEAL</x:v>
      </x:c>
      <x:c r="J135" s="28" t="n">
        <x:f t="shared" si="11">IF(F135="","",A135-F135)</x:f>
        <x:v>50</x:v>
      </x:c>
    </x:row>
    <x:row r="136">
      <x:c r="A136">
        <x:v>135</x:v>
      </x:c>
      <x:c r="B136" t="s">
        <x:v>315</x:v>
      </x:c>
      <x:c r="C136" t="s">
        <x:v>316</x:v>
      </x:c>
      <x:c r="D136" t="s">
        <x:v>116</x:v>
      </x:c>
      <x:c r="E136" s="20">
        <x:v>0</x:v>
      </x:c>
      <x:c r="F136">
        <x:v>180</x:v>
      </x:c>
      <x:c r="G136" s="27" t="n">
        <x:f t="shared" si="8">MAX(0,42.71-(0.42*A136))</x:f>
        <x:v>0</x:v>
      </x:c>
      <x:c r="H136" s="27" t="str">
        <x:f t="shared" si="9">IF(E136="","",E136-G136)</x:f>
      </x:c>
      <x:c r="I136" t="str">
        <x:f t="shared" si="10">IF(E136="","No Auction Value",IF(OR(H136&gt;=8,J136&gt;=15),"🔥 STEAL",IF(OR(H136&gt;=4,J136&gt;=7),"✅ VALUE",IF(OR(H136&gt;=1.5,J136&gt;=3),"👍 SLIGHT VALUE",IF(AND(H136&gt;-1.5,H136&lt;1.5,J136&gt;-3,J136&lt;3),"FAIR",IF(OR(H136&lt;=-5,J136&lt;=-10),"❌ AVOID","⚠️ REACH"))))))</x:f>
        <x:v>No Auction Value</x:v>
      </x:c>
      <x:c r="J136" s="28" t="n">
        <x:f t="shared" si="11">IF(F136="","",A136-F136)</x:f>
        <x:v>-45</x:v>
      </x:c>
    </x:row>
    <x:row r="137">
      <x:c r="A137">
        <x:v>136</x:v>
      </x:c>
      <x:c r="B137" t="s">
        <x:v>317</x:v>
      </x:c>
      <x:c r="C137" t="s">
        <x:v>318</x:v>
      </x:c>
      <x:c r="D137" t="s">
        <x:v>9</x:v>
      </x:c>
      <x:c r="E137" s="20">
        <x:v>0</x:v>
      </x:c>
      <x:c r="F137">
        <x:v>180</x:v>
      </x:c>
      <x:c r="G137" s="27" t="n">
        <x:f t="shared" si="8">MAX(0,42.71-(0.42*A137))</x:f>
        <x:v>0</x:v>
      </x:c>
      <x:c r="H137" s="27" t="str">
        <x:f t="shared" si="9">IF(E137="","",E137-G137)</x:f>
      </x:c>
      <x:c r="I137" t="str">
        <x:f t="shared" si="10">IF(E137="","No Auction Value",IF(OR(H137&gt;=8,J137&gt;=15),"🔥 STEAL",IF(OR(H137&gt;=4,J137&gt;=7),"✅ VALUE",IF(OR(H137&gt;=1.5,J137&gt;=3),"👍 SLIGHT VALUE",IF(AND(H137&gt;-1.5,H137&lt;1.5,J137&gt;-3,J137&lt;3),"FAIR",IF(OR(H137&lt;=-5,J137&lt;=-10),"❌ AVOID","⚠️ REACH"))))))</x:f>
        <x:v>No Auction Value</x:v>
      </x:c>
      <x:c r="J137" s="28" t="n">
        <x:f t="shared" si="11">IF(F137="","",A137-F137)</x:f>
        <x:v>-44</x:v>
      </x:c>
    </x:row>
    <x:row r="138">
      <x:c r="A138">
        <x:v>137</x:v>
      </x:c>
      <x:c r="B138" t="s">
        <x:v>319</x:v>
      </x:c>
      <x:c r="C138" t="s">
        <x:v>320</x:v>
      </x:c>
      <x:c r="D138" t="s">
        <x:v>116</x:v>
      </x:c>
      <x:c r="E138" s="20">
        <x:v>0</x:v>
      </x:c>
      <x:c r="F138">
        <x:v>180</x:v>
      </x:c>
      <x:c r="G138" s="27" t="n">
        <x:f t="shared" si="8">MAX(0,42.71-(0.42*A138))</x:f>
        <x:v>0</x:v>
      </x:c>
      <x:c r="H138" s="27" t="str">
        <x:f t="shared" si="9">IF(E138="","",E138-G138)</x:f>
      </x:c>
      <x:c r="I138" t="str">
        <x:f t="shared" si="10">IF(E138="","No Auction Value",IF(OR(H138&gt;=8,J138&gt;=15),"🔥 STEAL",IF(OR(H138&gt;=4,J138&gt;=7),"✅ VALUE",IF(OR(H138&gt;=1.5,J138&gt;=3),"👍 SLIGHT VALUE",IF(AND(H138&gt;-1.5,H138&lt;1.5,J138&gt;-3,J138&lt;3),"FAIR",IF(OR(H138&lt;=-5,J138&lt;=-10),"❌ AVOID","⚠️ REACH"))))))</x:f>
        <x:v>No Auction Value</x:v>
      </x:c>
      <x:c r="J138" s="28" t="n">
        <x:f t="shared" si="11">IF(F138="","",A138-F138)</x:f>
        <x:v>-43</x:v>
      </x:c>
    </x:row>
    <x:row r="139">
      <x:c r="A139">
        <x:v>138</x:v>
      </x:c>
      <x:c r="B139" t="s">
        <x:v>321</x:v>
      </x:c>
      <x:c r="C139" t="s">
        <x:v>322</x:v>
      </x:c>
      <x:c r="D139" t="s">
        <x:v>116</x:v>
      </x:c>
      <x:c r="E139" s="20">
        <x:v>0</x:v>
      </x:c>
      <x:c r="F139">
        <x:v>180</x:v>
      </x:c>
      <x:c r="G139" s="27" t="n">
        <x:f t="shared" si="8">MAX(0,42.71-(0.42*A139))</x:f>
        <x:v>0</x:v>
      </x:c>
      <x:c r="H139" s="27" t="str">
        <x:f t="shared" si="9">IF(E139="","",E139-G139)</x:f>
      </x:c>
      <x:c r="I139" t="str">
        <x:f t="shared" si="10">IF(E139="","No Auction Value",IF(OR(H139&gt;=8,J139&gt;=15),"🔥 STEAL",IF(OR(H139&gt;=4,J139&gt;=7),"✅ VALUE",IF(OR(H139&gt;=1.5,J139&gt;=3),"👍 SLIGHT VALUE",IF(AND(H139&gt;-1.5,H139&lt;1.5,J139&gt;-3,J139&lt;3),"FAIR",IF(OR(H139&lt;=-5,J139&lt;=-10),"❌ AVOID","⚠️ REACH"))))))</x:f>
        <x:v>No Auction Value</x:v>
      </x:c>
      <x:c r="J139" s="28" t="n">
        <x:f t="shared" si="11">IF(F139="","",A139-F139)</x:f>
        <x:v>-42</x:v>
      </x:c>
    </x:row>
    <x:row r="140">
      <x:c r="A140">
        <x:v>139</x:v>
      </x:c>
      <x:c r="B140" t="s">
        <x:v>323</x:v>
      </x:c>
      <x:c r="C140" t="s">
        <x:v>324</x:v>
      </x:c>
      <x:c r="D140" t="s">
        <x:v>65</x:v>
      </x:c>
      <x:c r="E140" s="20">
        <x:v>2</x:v>
      </x:c>
      <x:c r="F140">
        <x:v>136</x:v>
      </x:c>
      <x:c r="G140" s="27" t="n">
        <x:f t="shared" si="8">MAX(0,42.71-(0.42*A140))</x:f>
        <x:v>0</x:v>
      </x:c>
      <x:c r="H140" s="27" t="n">
        <x:f t="shared" si="9">IF(E140="","",E140-G140)</x:f>
        <x:v>2</x:v>
      </x:c>
      <x:c r="I140" t="str">
        <x:f t="shared" si="10">IF(E140="","No Auction Value",IF(OR(H140&gt;=8,J140&gt;=15),"🔥 STEAL",IF(OR(H140&gt;=4,J140&gt;=7),"✅ VALUE",IF(OR(H140&gt;=1.5,J140&gt;=3),"👍 SLIGHT VALUE",IF(AND(H140&gt;-1.5,H140&lt;1.5,J140&gt;-3,J140&lt;3),"FAIR",IF(OR(H140&lt;=-5,J140&lt;=-10),"❌ AVOID","⚠️ REACH"))))))</x:f>
        <x:v>👍 SLIGHT VALUE</x:v>
      </x:c>
      <x:c r="J140" s="28" t="n">
        <x:f t="shared" si="11">IF(F140="","",A140-F140)</x:f>
        <x:v>3</x:v>
      </x:c>
    </x:row>
    <x:row r="141">
      <x:c r="A141">
        <x:v>140</x:v>
      </x:c>
      <x:c r="B141" t="s">
        <x:v>325</x:v>
      </x:c>
      <x:c r="C141" t="s">
        <x:v>326</x:v>
      </x:c>
      <x:c r="D141" t="s">
        <x:v>14</x:v>
      </x:c>
      <x:c r="E141" s="20">
        <x:v>3</x:v>
      </x:c>
      <x:c r="F141">
        <x:v>127</x:v>
      </x:c>
      <x:c r="G141" s="27" t="n">
        <x:f t="shared" si="8">MAX(0,42.71-(0.42*A141))</x:f>
        <x:v>0</x:v>
      </x:c>
      <x:c r="H141" s="27" t="n">
        <x:f t="shared" si="9">IF(E141="","",E141-G141)</x:f>
        <x:v>3</x:v>
      </x:c>
      <x:c r="I141" t="str">
        <x:f t="shared" si="10">IF(E141="","No Auction Value",IF(OR(H141&gt;=8,J141&gt;=15),"🔥 STEAL",IF(OR(H141&gt;=4,J141&gt;=7),"✅ VALUE",IF(OR(H141&gt;=1.5,J141&gt;=3),"👍 SLIGHT VALUE",IF(AND(H141&gt;-1.5,H141&lt;1.5,J141&gt;-3,J141&lt;3),"FAIR",IF(OR(H141&lt;=-5,J141&lt;=-10),"❌ AVOID","⚠️ REACH"))))))</x:f>
        <x:v>✅ VALUE</x:v>
      </x:c>
      <x:c r="J141" s="28" t="n">
        <x:f t="shared" si="11">IF(F141="","",A141-F141)</x:f>
        <x:v>13</x:v>
      </x:c>
    </x:row>
    <x:row r="142">
      <x:c r="A142">
        <x:v>141</x:v>
      </x:c>
      <x:c r="B142" t="s">
        <x:v>327</x:v>
      </x:c>
      <x:c r="C142" t="s">
        <x:v>328</x:v>
      </x:c>
      <x:c r="D142" t="s">
        <x:v>14</x:v>
      </x:c>
      <x:c r="E142" s="20">
        <x:v>0</x:v>
      </x:c>
      <x:c r="F142">
        <x:v>180</x:v>
      </x:c>
      <x:c r="G142" s="27" t="n">
        <x:f t="shared" si="8">MAX(0,42.71-(0.42*A142))</x:f>
        <x:v>0</x:v>
      </x:c>
      <x:c r="H142" s="27" t="str">
        <x:f t="shared" si="9">IF(E142="","",E142-G142)</x:f>
      </x:c>
      <x:c r="I142" t="str">
        <x:f t="shared" si="10">IF(E142="","No Auction Value",IF(OR(H142&gt;=8,J142&gt;=15),"🔥 STEAL",IF(OR(H142&gt;=4,J142&gt;=7),"✅ VALUE",IF(OR(H142&gt;=1.5,J142&gt;=3),"👍 SLIGHT VALUE",IF(AND(H142&gt;-1.5,H142&lt;1.5,J142&gt;-3,J142&lt;3),"FAIR",IF(OR(H142&lt;=-5,J142&lt;=-10),"❌ AVOID","⚠️ REACH"))))))</x:f>
        <x:v>No Auction Value</x:v>
      </x:c>
      <x:c r="J142" s="28" t="n">
        <x:f t="shared" si="11">IF(F142="","",A142-F142)</x:f>
        <x:v>-39</x:v>
      </x:c>
    </x:row>
    <x:row r="143">
      <x:c r="A143">
        <x:v>142</x:v>
      </x:c>
      <x:c r="B143" t="s">
        <x:v>329</x:v>
      </x:c>
      <x:c r="C143" t="s">
        <x:v>330</x:v>
      </x:c>
      <x:c r="D143" t="s">
        <x:v>14</x:v>
      </x:c>
      <x:c r="E143" s="20">
        <x:v>0</x:v>
      </x:c>
      <x:c r="F143">
        <x:v>180</x:v>
      </x:c>
      <x:c r="G143" s="27" t="n">
        <x:f t="shared" si="8">MAX(0,42.71-(0.42*A143))</x:f>
        <x:v>0</x:v>
      </x:c>
      <x:c r="H143" s="27" t="str">
        <x:f t="shared" si="9">IF(E143="","",E143-G143)</x:f>
      </x:c>
      <x:c r="I143" t="str">
        <x:f t="shared" si="10">IF(E143="","No Auction Value",IF(OR(H143&gt;=8,J143&gt;=15),"🔥 STEAL",IF(OR(H143&gt;=4,J143&gt;=7),"✅ VALUE",IF(OR(H143&gt;=1.5,J143&gt;=3),"👍 SLIGHT VALUE",IF(AND(H143&gt;-1.5,H143&lt;1.5,J143&gt;-3,J143&lt;3),"FAIR",IF(OR(H143&lt;=-5,J143&lt;=-10),"❌ AVOID","⚠️ REACH"))))))</x:f>
        <x:v>No Auction Value</x:v>
      </x:c>
      <x:c r="J143" s="28" t="n">
        <x:f t="shared" si="11">IF(F143="","",A143-F143)</x:f>
        <x:v>-38</x:v>
      </x:c>
    </x:row>
    <x:row r="144">
      <x:c r="A144">
        <x:v>143</x:v>
      </x:c>
      <x:c r="B144" t="s">
        <x:v>331</x:v>
      </x:c>
      <x:c r="C144" t="s">
        <x:v>332</x:v>
      </x:c>
      <x:c r="D144" t="s">
        <x:v>9</x:v>
      </x:c>
      <x:c r="E144" s="20">
        <x:v>4</x:v>
      </x:c>
      <x:c r="F144">
        <x:v>118</x:v>
      </x:c>
      <x:c r="G144" s="27" t="n">
        <x:f t="shared" si="8">MAX(0,42.71-(0.42*A144))</x:f>
        <x:v>0</x:v>
      </x:c>
      <x:c r="H144" s="27" t="n">
        <x:f t="shared" si="9">IF(E144="","",E144-G144)</x:f>
        <x:v>4</x:v>
      </x:c>
      <x:c r="I144" t="str">
        <x:f t="shared" si="10">IF(E144="","No Auction Value",IF(OR(H144&gt;=8,J144&gt;=15),"🔥 STEAL",IF(OR(H144&gt;=4,J144&gt;=7),"✅ VALUE",IF(OR(H144&gt;=1.5,J144&gt;=3),"👍 SLIGHT VALUE",IF(AND(H144&gt;-1.5,H144&lt;1.5,J144&gt;-3,J144&lt;3),"FAIR",IF(OR(H144&lt;=-5,J144&lt;=-10),"❌ AVOID","⚠️ REACH"))))))</x:f>
        <x:v>🔥 STEAL</x:v>
      </x:c>
      <x:c r="J144" s="28" t="n">
        <x:f t="shared" si="11">IF(F144="","",A144-F144)</x:f>
        <x:v>25</x:v>
      </x:c>
    </x:row>
    <x:row r="145">
      <x:c r="A145">
        <x:v>144</x:v>
      </x:c>
      <x:c r="B145" t="s">
        <x:v>333</x:v>
      </x:c>
      <x:c r="C145" t="s">
        <x:v>334</x:v>
      </x:c>
      <x:c r="D145" t="s">
        <x:v>14</x:v>
      </x:c>
      <x:c r="E145" s="20">
        <x:v>2</x:v>
      </x:c>
      <x:c r="F145">
        <x:v>136</x:v>
      </x:c>
      <x:c r="G145" s="27" t="n">
        <x:f t="shared" si="8">MAX(0,42.71-(0.42*A145))</x:f>
        <x:v>0</x:v>
      </x:c>
      <x:c r="H145" s="27" t="n">
        <x:f t="shared" si="9">IF(E145="","",E145-G145)</x:f>
        <x:v>2</x:v>
      </x:c>
      <x:c r="I145" t="str">
        <x:f t="shared" si="10">IF(E145="","No Auction Value",IF(OR(H145&gt;=8,J145&gt;=15),"🔥 STEAL",IF(OR(H145&gt;=4,J145&gt;=7),"✅ VALUE",IF(OR(H145&gt;=1.5,J145&gt;=3),"👍 SLIGHT VALUE",IF(AND(H145&gt;-1.5,H145&lt;1.5,J145&gt;-3,J145&lt;3),"FAIR",IF(OR(H145&lt;=-5,J145&lt;=-10),"❌ AVOID","⚠️ REACH"))))))</x:f>
        <x:v>✅ VALUE</x:v>
      </x:c>
      <x:c r="J145" s="28" t="n">
        <x:f t="shared" si="11">IF(F145="","",A145-F145)</x:f>
        <x:v>8</x:v>
      </x:c>
    </x:row>
    <x:row r="146">
      <x:c r="A146">
        <x:v>145</x:v>
      </x:c>
      <x:c r="B146" t="s">
        <x:v>335</x:v>
      </x:c>
      <x:c r="C146" t="s">
        <x:v>336</x:v>
      </x:c>
      <x:c r="D146" t="s">
        <x:v>65</x:v>
      </x:c>
      <x:c r="E146" s="20">
        <x:v>1</x:v>
      </x:c>
      <x:c r="F146">
        <x:v>150</x:v>
      </x:c>
      <x:c r="G146" s="27" t="n">
        <x:f t="shared" si="8">MAX(0,42.71-(0.42*A146))</x:f>
        <x:v>0</x:v>
      </x:c>
      <x:c r="H146" s="27" t="n">
        <x:f t="shared" si="9">IF(E146="","",E146-G146)</x:f>
        <x:v>1</x:v>
      </x:c>
      <x:c r="I146" t="str">
        <x:f t="shared" si="10">IF(E146="","No Auction Value",IF(OR(H146&gt;=8,J146&gt;=15),"🔥 STEAL",IF(OR(H146&gt;=4,J146&gt;=7),"✅ VALUE",IF(OR(H146&gt;=1.5,J146&gt;=3),"👍 SLIGHT VALUE",IF(AND(H146&gt;-1.5,H146&lt;1.5,J146&gt;-3,J146&lt;3),"FAIR",IF(OR(H146&lt;=-5,J146&lt;=-10),"❌ AVOID","⚠️ REACH"))))))</x:f>
        <x:v>⚠️ REACH</x:v>
      </x:c>
      <x:c r="J146" s="28" t="n">
        <x:f t="shared" si="11">IF(F146="","",A146-F146)</x:f>
        <x:v>-5</x:v>
      </x:c>
    </x:row>
    <x:row r="147">
      <x:c r="A147">
        <x:v>146</x:v>
      </x:c>
      <x:c r="B147" t="s">
        <x:v>337</x:v>
      </x:c>
      <x:c r="C147" t="s">
        <x:v>338</x:v>
      </x:c>
      <x:c r="D147" t="s">
        <x:v>65</x:v>
      </x:c>
      <x:c r="E147" s="20">
        <x:v>0</x:v>
      </x:c>
      <x:c r="F147">
        <x:v>180</x:v>
      </x:c>
      <x:c r="G147" s="27" t="n">
        <x:f t="shared" si="8">MAX(0,42.71-(0.42*A147))</x:f>
        <x:v>0</x:v>
      </x:c>
      <x:c r="H147" s="27" t="str">
        <x:f t="shared" si="9">IF(E147="","",E147-G147)</x:f>
      </x:c>
      <x:c r="I147" t="str">
        <x:f t="shared" si="10">IF(E147="","No Auction Value",IF(OR(H147&gt;=8,J147&gt;=15),"🔥 STEAL",IF(OR(H147&gt;=4,J147&gt;=7),"✅ VALUE",IF(OR(H147&gt;=1.5,J147&gt;=3),"👍 SLIGHT VALUE",IF(AND(H147&gt;-1.5,H147&lt;1.5,J147&gt;-3,J147&lt;3),"FAIR",IF(OR(H147&lt;=-5,J147&lt;=-10),"❌ AVOID","⚠️ REACH"))))))</x:f>
        <x:v>No Auction Value</x:v>
      </x:c>
      <x:c r="J147" s="28" t="n">
        <x:f t="shared" si="11">IF(F147="","",A147-F147)</x:f>
        <x:v>-34</x:v>
      </x:c>
    </x:row>
    <x:row r="148">
      <x:c r="A148">
        <x:v>147</x:v>
      </x:c>
      <x:c r="B148" t="s">
        <x:v>339</x:v>
      </x:c>
      <x:c r="C148" t="s">
        <x:v>340</x:v>
      </x:c>
      <x:c r="D148" t="s">
        <x:v>14</x:v>
      </x:c>
      <x:c r="E148" s="20">
        <x:v>1</x:v>
      </x:c>
      <x:c r="F148">
        <x:v>150</x:v>
      </x:c>
      <x:c r="G148" s="27" t="n">
        <x:f t="shared" si="8">MAX(0,42.71-(0.42*A148))</x:f>
        <x:v>0</x:v>
      </x:c>
      <x:c r="H148" s="27" t="n">
        <x:f t="shared" si="9">IF(E148="","",E148-G148)</x:f>
        <x:v>1</x:v>
      </x:c>
      <x:c r="I148" t="str">
        <x:f t="shared" si="10">IF(E148="","No Auction Value",IF(OR(H148&gt;=8,J148&gt;=15),"🔥 STEAL",IF(OR(H148&gt;=4,J148&gt;=7),"✅ VALUE",IF(OR(H148&gt;=1.5,J148&gt;=3),"👍 SLIGHT VALUE",IF(AND(H148&gt;-1.5,H148&lt;1.5,J148&gt;-3,J148&lt;3),"FAIR",IF(OR(H148&lt;=-5,J148&lt;=-10),"❌ AVOID","⚠️ REACH"))))))</x:f>
        <x:v>⚠️ REACH</x:v>
      </x:c>
      <x:c r="J148" s="28" t="n">
        <x:f t="shared" si="11">IF(F148="","",A148-F148)</x:f>
        <x:v>-3</x:v>
      </x:c>
    </x:row>
    <x:row r="149">
      <x:c r="A149">
        <x:v>148</x:v>
      </x:c>
      <x:c r="B149" t="s">
        <x:v>341</x:v>
      </x:c>
      <x:c r="C149" t="s">
        <x:v>342</x:v>
      </x:c>
      <x:c r="D149" t="s">
        <x:v>116</x:v>
      </x:c>
      <x:c r="E149" s="20">
        <x:v>0</x:v>
      </x:c>
      <x:c r="F149">
        <x:v>180</x:v>
      </x:c>
      <x:c r="G149" s="27" t="n">
        <x:f t="shared" si="8">MAX(0,42.71-(0.42*A149))</x:f>
        <x:v>0</x:v>
      </x:c>
      <x:c r="H149" s="27" t="str">
        <x:f t="shared" si="9">IF(E149="","",E149-G149)</x:f>
      </x:c>
      <x:c r="I149" t="str">
        <x:f t="shared" si="10">IF(E149="","No Auction Value",IF(OR(H149&gt;=8,J149&gt;=15),"🔥 STEAL",IF(OR(H149&gt;=4,J149&gt;=7),"✅ VALUE",IF(OR(H149&gt;=1.5,J149&gt;=3),"👍 SLIGHT VALUE",IF(AND(H149&gt;-1.5,H149&lt;1.5,J149&gt;-3,J149&lt;3),"FAIR",IF(OR(H149&lt;=-5,J149&lt;=-10),"❌ AVOID","⚠️ REACH"))))))</x:f>
        <x:v>No Auction Value</x:v>
      </x:c>
      <x:c r="J149" s="28" t="n">
        <x:f t="shared" si="11">IF(F149="","",A149-F149)</x:f>
        <x:v>-32</x:v>
      </x:c>
    </x:row>
    <x:row r="150">
      <x:c r="A150">
        <x:v>149</x:v>
      </x:c>
      <x:c r="B150" t="s">
        <x:v>343</x:v>
      </x:c>
      <x:c r="C150" t="s">
        <x:v>344</x:v>
      </x:c>
      <x:c r="D150" t="s">
        <x:v>65</x:v>
      </x:c>
      <x:c r="E150" s="20">
        <x:v>2</x:v>
      </x:c>
      <x:c r="F150">
        <x:v>136</x:v>
      </x:c>
      <x:c r="G150" s="27" t="n">
        <x:f t="shared" si="8">MAX(0,42.71-(0.42*A150))</x:f>
        <x:v>0</x:v>
      </x:c>
      <x:c r="H150" s="27" t="n">
        <x:f t="shared" si="9">IF(E150="","",E150-G150)</x:f>
        <x:v>2</x:v>
      </x:c>
      <x:c r="I150" t="str">
        <x:f t="shared" si="10">IF(E150="","No Auction Value",IF(OR(H150&gt;=8,J150&gt;=15),"🔥 STEAL",IF(OR(H150&gt;=4,J150&gt;=7),"✅ VALUE",IF(OR(H150&gt;=1.5,J150&gt;=3),"👍 SLIGHT VALUE",IF(AND(H150&gt;-1.5,H150&lt;1.5,J150&gt;-3,J150&lt;3),"FAIR",IF(OR(H150&lt;=-5,J150&lt;=-10),"❌ AVOID","⚠️ REACH"))))))</x:f>
        <x:v>✅ VALUE</x:v>
      </x:c>
      <x:c r="J150" s="28" t="n">
        <x:f t="shared" si="11">IF(F150="","",A150-F150)</x:f>
        <x:v>13</x:v>
      </x:c>
    </x:row>
    <x:row r="151">
      <x:c r="A151">
        <x:v>150</x:v>
      </x:c>
      <x:c r="B151" t="s">
        <x:v>345</x:v>
      </x:c>
      <x:c r="C151" t="s">
        <x:v>346</x:v>
      </x:c>
      <x:c r="D151" t="s">
        <x:v>65</x:v>
      </x:c>
      <x:c r="E151" s="20">
        <x:v>0</x:v>
      </x:c>
      <x:c r="F151">
        <x:v>180</x:v>
      </x:c>
      <x:c r="G151" s="27" t="n">
        <x:f t="shared" si="8">MAX(0,42.71-(0.42*A151))</x:f>
        <x:v>0</x:v>
      </x:c>
      <x:c r="H151" s="27" t="str">
        <x:f t="shared" si="9">IF(E151="","",E151-G151)</x:f>
      </x:c>
      <x:c r="I151" t="str">
        <x:f t="shared" si="10">IF(E151="","No Auction Value",IF(OR(H151&gt;=8,J151&gt;=15),"🔥 STEAL",IF(OR(H151&gt;=4,J151&gt;=7),"✅ VALUE",IF(OR(H151&gt;=1.5,J151&gt;=3),"👍 SLIGHT VALUE",IF(AND(H151&gt;-1.5,H151&lt;1.5,J151&gt;-3,J151&lt;3),"FAIR",IF(OR(H151&lt;=-5,J151&lt;=-10),"❌ AVOID","⚠️ REACH"))))))</x:f>
        <x:v>No Auction Value</x:v>
      </x:c>
      <x:c r="J151" s="28" t="n">
        <x:f t="shared" si="11">IF(F151="","",A151-F151)</x:f>
        <x:v>-30</x:v>
      </x:c>
    </x:row>
    <x:row r="152">
      <x:c r="A152">
        <x:v>151</x:v>
      </x:c>
      <x:c r="B152" t="s">
        <x:v>347</x:v>
      </x:c>
      <x:c r="C152" t="s">
        <x:v>348</x:v>
      </x:c>
      <x:c r="D152" t="s">
        <x:v>9</x:v>
      </x:c>
      <x:c r="E152" s="20">
        <x:v>6</x:v>
      </x:c>
      <x:c r="F152">
        <x:v>102</x:v>
      </x:c>
      <x:c r="G152" s="27" t="n">
        <x:f t="shared" si="8">MAX(0,42.71-(0.42*A152))</x:f>
        <x:v>0</x:v>
      </x:c>
      <x:c r="H152" s="27" t="n">
        <x:f t="shared" si="9">IF(E152="","",E152-G152)</x:f>
        <x:v>6</x:v>
      </x:c>
      <x:c r="I152" t="str">
        <x:f t="shared" si="10">IF(E152="","No Auction Value",IF(OR(H152&gt;=8,J152&gt;=15),"🔥 STEAL",IF(OR(H152&gt;=4,J152&gt;=7),"✅ VALUE",IF(OR(H152&gt;=1.5,J152&gt;=3),"👍 SLIGHT VALUE",IF(AND(H152&gt;-1.5,H152&lt;1.5,J152&gt;-3,J152&lt;3),"FAIR",IF(OR(H152&lt;=-5,J152&lt;=-10),"❌ AVOID","⚠️ REACH"))))))</x:f>
        <x:v>🔥 STEAL</x:v>
      </x:c>
      <x:c r="J152" s="28" t="n">
        <x:f t="shared" si="11">IF(F152="","",A152-F152)</x:f>
        <x:v>49</x:v>
      </x:c>
    </x:row>
    <x:row r="153">
      <x:c r="A153">
        <x:v>152</x:v>
      </x:c>
      <x:c r="B153" t="s">
        <x:v>349</x:v>
      </x:c>
      <x:c r="C153" t="s">
        <x:v>350</x:v>
      </x:c>
      <x:c r="D153" t="s">
        <x:v>65</x:v>
      </x:c>
      <x:c r="E153" s="20">
        <x:v>0</x:v>
      </x:c>
      <x:c r="F153">
        <x:v>180</x:v>
      </x:c>
      <x:c r="G153" s="27" t="n">
        <x:f t="shared" si="8">MAX(0,42.71-(0.42*A153))</x:f>
        <x:v>0</x:v>
      </x:c>
      <x:c r="H153" s="27" t="str">
        <x:f t="shared" si="9">IF(E153="","",E153-G153)</x:f>
      </x:c>
      <x:c r="I153" t="str">
        <x:f t="shared" si="10">IF(E153="","No Auction Value",IF(OR(H153&gt;=8,J153&gt;=15),"🔥 STEAL",IF(OR(H153&gt;=4,J153&gt;=7),"✅ VALUE",IF(OR(H153&gt;=1.5,J153&gt;=3),"👍 SLIGHT VALUE",IF(AND(H153&gt;-1.5,H153&lt;1.5,J153&gt;-3,J153&lt;3),"FAIR",IF(OR(H153&lt;=-5,J153&lt;=-10),"❌ AVOID","⚠️ REACH"))))))</x:f>
        <x:v>No Auction Value</x:v>
      </x:c>
      <x:c r="J153" s="28" t="n">
        <x:f t="shared" si="11">IF(F153="","",A153-F153)</x:f>
        <x:v>-28</x:v>
      </x:c>
    </x:row>
    <x:row r="154">
      <x:c r="A154">
        <x:v>153</x:v>
      </x:c>
      <x:c r="B154" t="s">
        <x:v>351</x:v>
      </x:c>
      <x:c r="C154" t="s">
        <x:v>352</x:v>
      </x:c>
      <x:c r="D154" t="s">
        <x:v>14</x:v>
      </x:c>
      <x:c r="E154" s="20">
        <x:v>0</x:v>
      </x:c>
      <x:c r="F154">
        <x:v>180</x:v>
      </x:c>
      <x:c r="G154" s="27" t="n">
        <x:f t="shared" si="8">MAX(0,42.71-(0.42*A154))</x:f>
        <x:v>0</x:v>
      </x:c>
      <x:c r="H154" s="27" t="str">
        <x:f t="shared" si="9">IF(E154="","",E154-G154)</x:f>
      </x:c>
      <x:c r="I154" t="str">
        <x:f t="shared" si="10">IF(E154="","No Auction Value",IF(OR(H154&gt;=8,J154&gt;=15),"🔥 STEAL",IF(OR(H154&gt;=4,J154&gt;=7),"✅ VALUE",IF(OR(H154&gt;=1.5,J154&gt;=3),"👍 SLIGHT VALUE",IF(AND(H154&gt;-1.5,H154&lt;1.5,J154&gt;-3,J154&lt;3),"FAIR",IF(OR(H154&lt;=-5,J154&lt;=-10),"❌ AVOID","⚠️ REACH"))))))</x:f>
        <x:v>No Auction Value</x:v>
      </x:c>
      <x:c r="J154" s="28" t="n">
        <x:f t="shared" si="11">IF(F154="","",A154-F154)</x:f>
        <x:v>-27</x:v>
      </x:c>
    </x:row>
    <x:row r="155">
      <x:c r="A155">
        <x:v>154</x:v>
      </x:c>
      <x:c r="B155" t="s">
        <x:v>353</x:v>
      </x:c>
      <x:c r="C155" t="s">
        <x:v>354</x:v>
      </x:c>
      <x:c r="D155" t="s">
        <x:v>9</x:v>
      </x:c>
      <x:c r="E155" s="20">
        <x:v>0</x:v>
      </x:c>
      <x:c r="F155">
        <x:v>180</x:v>
      </x:c>
      <x:c r="G155" s="27" t="n">
        <x:f t="shared" si="8">MAX(0,42.71-(0.42*A155))</x:f>
        <x:v>0</x:v>
      </x:c>
      <x:c r="H155" s="27" t="str">
        <x:f t="shared" si="9">IF(E155="","",E155-G155)</x:f>
      </x:c>
      <x:c r="I155" t="str">
        <x:f t="shared" si="10">IF(E155="","No Auction Value",IF(OR(H155&gt;=8,J155&gt;=15),"🔥 STEAL",IF(OR(H155&gt;=4,J155&gt;=7),"✅ VALUE",IF(OR(H155&gt;=1.5,J155&gt;=3),"👍 SLIGHT VALUE",IF(AND(H155&gt;-1.5,H155&lt;1.5,J155&gt;-3,J155&lt;3),"FAIR",IF(OR(H155&lt;=-5,J155&lt;=-10),"❌ AVOID","⚠️ REACH"))))))</x:f>
        <x:v>No Auction Value</x:v>
      </x:c>
      <x:c r="J155" s="28" t="n">
        <x:f t="shared" si="11">IF(F155="","",A155-F155)</x:f>
        <x:v>-26</x:v>
      </x:c>
    </x:row>
    <x:row r="156">
      <x:c r="A156">
        <x:v>155</x:v>
      </x:c>
      <x:c r="B156" t="s">
        <x:v>355</x:v>
      </x:c>
      <x:c r="C156" t="s">
        <x:v>356</x:v>
      </x:c>
      <x:c r="D156" t="s">
        <x:v>116</x:v>
      </x:c>
      <x:c r="E156" s="20">
        <x:v>0</x:v>
      </x:c>
      <x:c r="F156">
        <x:v>180</x:v>
      </x:c>
      <x:c r="G156" s="27" t="n">
        <x:f t="shared" si="8">MAX(0,42.71-(0.42*A156))</x:f>
        <x:v>0</x:v>
      </x:c>
      <x:c r="H156" s="27" t="str">
        <x:f t="shared" si="9">IF(E156="","",E156-G156)</x:f>
      </x:c>
      <x:c r="I156" t="str">
        <x:f t="shared" si="10">IF(E156="","No Auction Value",IF(OR(H156&gt;=8,J156&gt;=15),"🔥 STEAL",IF(OR(H156&gt;=4,J156&gt;=7),"✅ VALUE",IF(OR(H156&gt;=1.5,J156&gt;=3),"👍 SLIGHT VALUE",IF(AND(H156&gt;-1.5,H156&lt;1.5,J156&gt;-3,J156&lt;3),"FAIR",IF(OR(H156&lt;=-5,J156&lt;=-10),"❌ AVOID","⚠️ REACH"))))))</x:f>
        <x:v>No Auction Value</x:v>
      </x:c>
      <x:c r="J156" s="28" t="n">
        <x:f t="shared" si="11">IF(F156="","",A156-F156)</x:f>
        <x:v>-25</x:v>
      </x:c>
    </x:row>
    <x:row r="157">
      <x:c r="A157">
        <x:v>156</x:v>
      </x:c>
      <x:c r="B157" t="s">
        <x:v>357</x:v>
      </x:c>
      <x:c r="C157" t="s">
        <x:v>358</x:v>
      </x:c>
      <x:c r="D157" t="s">
        <x:v>9</x:v>
      </x:c>
      <x:c r="E157" s="20">
        <x:v>0</x:v>
      </x:c>
      <x:c r="F157">
        <x:v>180</x:v>
      </x:c>
      <x:c r="G157" s="27" t="n">
        <x:f t="shared" si="8">MAX(0,42.71-(0.42*A157))</x:f>
        <x:v>0</x:v>
      </x:c>
      <x:c r="H157" s="27" t="str">
        <x:f t="shared" si="9">IF(E157="","",E157-G157)</x:f>
      </x:c>
      <x:c r="I157" t="str">
        <x:f t="shared" si="10">IF(E157="","No Auction Value",IF(OR(H157&gt;=8,J157&gt;=15),"🔥 STEAL",IF(OR(H157&gt;=4,J157&gt;=7),"✅ VALUE",IF(OR(H157&gt;=1.5,J157&gt;=3),"👍 SLIGHT VALUE",IF(AND(H157&gt;-1.5,H157&lt;1.5,J157&gt;-3,J157&lt;3),"FAIR",IF(OR(H157&lt;=-5,J157&lt;=-10),"❌ AVOID","⚠️ REACH"))))))</x:f>
        <x:v>No Auction Value</x:v>
      </x:c>
      <x:c r="J157" s="28" t="n">
        <x:f t="shared" si="11">IF(F157="","",A157-F157)</x:f>
        <x:v>-24</x:v>
      </x:c>
    </x:row>
    <x:row r="158">
      <x:c r="A158">
        <x:v>157</x:v>
      </x:c>
      <x:c r="B158" t="s">
        <x:v>359</x:v>
      </x:c>
      <x:c r="C158" t="s">
        <x:v>360</x:v>
      </x:c>
      <x:c r="D158" t="s">
        <x:v>14</x:v>
      </x:c>
      <x:c r="E158" s="20">
        <x:v>0</x:v>
      </x:c>
      <x:c r="F158">
        <x:v>180</x:v>
      </x:c>
      <x:c r="G158" s="27" t="n">
        <x:f t="shared" si="8">MAX(0,42.71-(0.42*A158))</x:f>
        <x:v>0</x:v>
      </x:c>
      <x:c r="H158" s="27" t="str">
        <x:f t="shared" si="9">IF(E158="","",E158-G158)</x:f>
      </x:c>
      <x:c r="I158" t="str">
        <x:f t="shared" si="10">IF(E158="","No Auction Value",IF(OR(H158&gt;=8,J158&gt;=15),"🔥 STEAL",IF(OR(H158&gt;=4,J158&gt;=7),"✅ VALUE",IF(OR(H158&gt;=1.5,J158&gt;=3),"👍 SLIGHT VALUE",IF(AND(H158&gt;-1.5,H158&lt;1.5,J158&gt;-3,J158&lt;3),"FAIR",IF(OR(H158&lt;=-5,J158&lt;=-10),"❌ AVOID","⚠️ REACH"))))))</x:f>
        <x:v>No Auction Value</x:v>
      </x:c>
      <x:c r="J158" s="28" t="n">
        <x:f t="shared" si="11">IF(F158="","",A158-F158)</x:f>
        <x:v>-23</x:v>
      </x:c>
    </x:row>
    <x:row r="159">
      <x:c r="A159">
        <x:v>158</x:v>
      </x:c>
      <x:c r="B159" t="s">
        <x:v>361</x:v>
      </x:c>
      <x:c r="C159" t="s">
        <x:v>362</x:v>
      </x:c>
      <x:c r="D159" t="s">
        <x:v>14</x:v>
      </x:c>
      <x:c r="E159" s="20">
        <x:v>1</x:v>
      </x:c>
      <x:c r="F159">
        <x:v>150</x:v>
      </x:c>
      <x:c r="G159" s="27" t="n">
        <x:f t="shared" si="8">MAX(0,42.71-(0.42*A159))</x:f>
        <x:v>0</x:v>
      </x:c>
      <x:c r="H159" s="27" t="n">
        <x:f t="shared" si="9">IF(E159="","",E159-G159)</x:f>
        <x:v>1</x:v>
      </x:c>
      <x:c r="I159" t="str">
        <x:f t="shared" si="10">IF(E159="","No Auction Value",IF(OR(H159&gt;=8,J159&gt;=15),"🔥 STEAL",IF(OR(H159&gt;=4,J159&gt;=7),"✅ VALUE",IF(OR(H159&gt;=1.5,J159&gt;=3),"👍 SLIGHT VALUE",IF(AND(H159&gt;-1.5,H159&lt;1.5,J159&gt;-3,J159&lt;3),"FAIR",IF(OR(H159&lt;=-5,J159&lt;=-10),"❌ AVOID","⚠️ REACH"))))))</x:f>
        <x:v>✅ VALUE</x:v>
      </x:c>
      <x:c r="J159" s="28" t="n">
        <x:f t="shared" si="11">IF(F159="","",A159-F159)</x:f>
        <x:v>8</x:v>
      </x:c>
    </x:row>
    <x:row r="160">
      <x:c r="A160">
        <x:v>159</x:v>
      </x:c>
      <x:c r="B160" t="s">
        <x:v>363</x:v>
      </x:c>
      <x:c r="C160" t="s">
        <x:v>364</x:v>
      </x:c>
      <x:c r="D160" t="s">
        <x:v>9</x:v>
      </x:c>
      <x:c r="E160" s="20">
        <x:v>3</x:v>
      </x:c>
      <x:c r="F160">
        <x:v>127</x:v>
      </x:c>
      <x:c r="G160" s="27" t="n">
        <x:f t="shared" si="8">MAX(0,42.71-(0.42*A160))</x:f>
        <x:v>0</x:v>
      </x:c>
      <x:c r="H160" s="27" t="n">
        <x:f t="shared" si="9">IF(E160="","",E160-G160)</x:f>
        <x:v>3</x:v>
      </x:c>
      <x:c r="I160" t="str">
        <x:f t="shared" si="10">IF(E160="","No Auction Value",IF(OR(H160&gt;=8,J160&gt;=15),"🔥 STEAL",IF(OR(H160&gt;=4,J160&gt;=7),"✅ VALUE",IF(OR(H160&gt;=1.5,J160&gt;=3),"👍 SLIGHT VALUE",IF(AND(H160&gt;-1.5,H160&lt;1.5,J160&gt;-3,J160&lt;3),"FAIR",IF(OR(H160&lt;=-5,J160&lt;=-10),"❌ AVOID","⚠️ REACH"))))))</x:f>
        <x:v>🔥 STEAL</x:v>
      </x:c>
      <x:c r="J160" s="28" t="n">
        <x:f t="shared" si="11">IF(F160="","",A160-F160)</x:f>
        <x:v>32</x:v>
      </x:c>
    </x:row>
    <x:row r="161">
      <x:c r="A161">
        <x:v>160</x:v>
      </x:c>
      <x:c r="B161" t="s">
        <x:v>365</x:v>
      </x:c>
      <x:c r="C161" t="s">
        <x:v>366</x:v>
      </x:c>
      <x:c r="D161" t="s">
        <x:v>9</x:v>
      </x:c>
      <x:c r="E161" s="20">
        <x:v>0</x:v>
      </x:c>
      <x:c r="F161">
        <x:v>180</x:v>
      </x:c>
      <x:c r="G161" s="27" t="n">
        <x:f t="shared" si="8">MAX(0,42.71-(0.42*A161))</x:f>
        <x:v>0</x:v>
      </x:c>
      <x:c r="H161" s="27" t="str">
        <x:f t="shared" si="9">IF(E161="","",E161-G161)</x:f>
      </x:c>
      <x:c r="I161" t="str">
        <x:f t="shared" si="10">IF(E161="","No Auction Value",IF(OR(H161&gt;=8,J161&gt;=15),"🔥 STEAL",IF(OR(H161&gt;=4,J161&gt;=7),"✅ VALUE",IF(OR(H161&gt;=1.5,J161&gt;=3),"👍 SLIGHT VALUE",IF(AND(H161&gt;-1.5,H161&lt;1.5,J161&gt;-3,J161&lt;3),"FAIR",IF(OR(H161&lt;=-5,J161&lt;=-10),"❌ AVOID","⚠️ REACH"))))))</x:f>
        <x:v>No Auction Value</x:v>
      </x:c>
      <x:c r="J161" s="28" t="n">
        <x:f t="shared" si="11">IF(F161="","",A161-F161)</x:f>
        <x:v>-20</x:v>
      </x:c>
    </x:row>
    <x:row r="162">
      <x:c r="A162">
        <x:v>161</x:v>
      </x:c>
      <x:c r="B162" t="s">
        <x:v>367</x:v>
      </x:c>
      <x:c r="C162" t="s">
        <x:v>368</x:v>
      </x:c>
      <x:c r="D162" t="s">
        <x:v>9</x:v>
      </x:c>
      <x:c r="E162" s="20">
        <x:v>1</x:v>
      </x:c>
      <x:c r="F162">
        <x:v>150</x:v>
      </x:c>
      <x:c r="G162" s="27" t="n">
        <x:f t="shared" si="8">MAX(0,42.71-(0.42*A162))</x:f>
        <x:v>0</x:v>
      </x:c>
      <x:c r="H162" s="27" t="n">
        <x:f t="shared" si="9">IF(E162="","",E162-G162)</x:f>
        <x:v>1</x:v>
      </x:c>
      <x:c r="I162" t="str">
        <x:f t="shared" si="10">IF(E162="","No Auction Value",IF(OR(H162&gt;=8,J162&gt;=15),"🔥 STEAL",IF(OR(H162&gt;=4,J162&gt;=7),"✅ VALUE",IF(OR(H162&gt;=1.5,J162&gt;=3),"👍 SLIGHT VALUE",IF(AND(H162&gt;-1.5,H162&lt;1.5,J162&gt;-3,J162&lt;3),"FAIR",IF(OR(H162&lt;=-5,J162&lt;=-10),"❌ AVOID","⚠️ REACH"))))))</x:f>
        <x:v>✅ VALUE</x:v>
      </x:c>
      <x:c r="J162" s="28" t="n">
        <x:f t="shared" si="11">IF(F162="","",A162-F162)</x:f>
        <x:v>11</x:v>
      </x:c>
    </x:row>
    <x:row r="163">
      <x:c r="A163">
        <x:v>162</x:v>
      </x:c>
      <x:c r="B163" t="s">
        <x:v>369</x:v>
      </x:c>
      <x:c r="C163" t="s">
        <x:v>370</x:v>
      </x:c>
      <x:c r="D163" t="s">
        <x:v>14</x:v>
      </x:c>
      <x:c r="E163" s="20">
        <x:v>0</x:v>
      </x:c>
      <x:c r="F163">
        <x:v>180</x:v>
      </x:c>
      <x:c r="G163" s="27" t="n">
        <x:f t="shared" si="8">MAX(0,42.71-(0.42*A163))</x:f>
        <x:v>0</x:v>
      </x:c>
      <x:c r="H163" s="27" t="str">
        <x:f t="shared" si="9">IF(E163="","",E163-G163)</x:f>
      </x:c>
      <x:c r="I163" t="str">
        <x:f t="shared" si="10">IF(E163="","No Auction Value",IF(OR(H163&gt;=8,J163&gt;=15),"🔥 STEAL",IF(OR(H163&gt;=4,J163&gt;=7),"✅ VALUE",IF(OR(H163&gt;=1.5,J163&gt;=3),"👍 SLIGHT VALUE",IF(AND(H163&gt;-1.5,H163&lt;1.5,J163&gt;-3,J163&lt;3),"FAIR",IF(OR(H163&lt;=-5,J163&lt;=-10),"❌ AVOID","⚠️ REACH"))))))</x:f>
        <x:v>No Auction Value</x:v>
      </x:c>
      <x:c r="J163" s="28" t="n">
        <x:f t="shared" si="11">IF(F163="","",A163-F163)</x:f>
        <x:v>-18</x:v>
      </x:c>
    </x:row>
    <x:row r="164">
      <x:c r="A164">
        <x:v>163</x:v>
      </x:c>
      <x:c r="B164" t="s">
        <x:v>371</x:v>
      </x:c>
      <x:c r="C164" t="s">
        <x:v>372</x:v>
      </x:c>
      <x:c r="D164" t="s">
        <x:v>65</x:v>
      </x:c>
      <x:c r="E164" s="20">
        <x:v>0</x:v>
      </x:c>
      <x:c r="F164">
        <x:v>180</x:v>
      </x:c>
      <x:c r="G164" s="27" t="n">
        <x:f t="shared" si="8">MAX(0,42.71-(0.42*A164))</x:f>
        <x:v>0</x:v>
      </x:c>
      <x:c r="H164" s="27" t="str">
        <x:f t="shared" si="9">IF(E164="","",E164-G164)</x:f>
      </x:c>
      <x:c r="I164" t="str">
        <x:f t="shared" si="10">IF(E164="","No Auction Value",IF(OR(H164&gt;=8,J164&gt;=15),"🔥 STEAL",IF(OR(H164&gt;=4,J164&gt;=7),"✅ VALUE",IF(OR(H164&gt;=1.5,J164&gt;=3),"👍 SLIGHT VALUE",IF(AND(H164&gt;-1.5,H164&lt;1.5,J164&gt;-3,J164&lt;3),"FAIR",IF(OR(H164&lt;=-5,J164&lt;=-10),"❌ AVOID","⚠️ REACH"))))))</x:f>
        <x:v>No Auction Value</x:v>
      </x:c>
      <x:c r="J164" s="28" t="n">
        <x:f t="shared" si="11">IF(F164="","",A164-F164)</x:f>
        <x:v>-17</x:v>
      </x:c>
    </x:row>
    <x:row r="165">
      <x:c r="A165">
        <x:v>164</x:v>
      </x:c>
      <x:c r="B165" t="s">
        <x:v>373</x:v>
      </x:c>
      <x:c r="C165" t="s">
        <x:v>374</x:v>
      </x:c>
      <x:c r="D165" t="s">
        <x:v>65</x:v>
      </x:c>
      <x:c r="E165" s="20">
        <x:v>1</x:v>
      </x:c>
      <x:c r="F165">
        <x:v>150</x:v>
      </x:c>
      <x:c r="G165" s="27" t="n">
        <x:f t="shared" si="8">MAX(0,42.71-(0.42*A165))</x:f>
        <x:v>0</x:v>
      </x:c>
      <x:c r="H165" s="27" t="n">
        <x:f t="shared" si="9">IF(E165="","",E165-G165)</x:f>
        <x:v>1</x:v>
      </x:c>
      <x:c r="I165" t="str">
        <x:f t="shared" si="10">IF(E165="","No Auction Value",IF(OR(H165&gt;=8,J165&gt;=15),"🔥 STEAL",IF(OR(H165&gt;=4,J165&gt;=7),"✅ VALUE",IF(OR(H165&gt;=1.5,J165&gt;=3),"👍 SLIGHT VALUE",IF(AND(H165&gt;-1.5,H165&lt;1.5,J165&gt;-3,J165&lt;3),"FAIR",IF(OR(H165&lt;=-5,J165&lt;=-10),"❌ AVOID","⚠️ REACH"))))))</x:f>
        <x:v>✅ VALUE</x:v>
      </x:c>
      <x:c r="J165" s="28" t="n">
        <x:f t="shared" si="11">IF(F165="","",A165-F165)</x:f>
        <x:v>14</x:v>
      </x:c>
    </x:row>
    <x:row r="166">
      <x:c r="A166">
        <x:v>165</x:v>
      </x:c>
      <x:c r="B166" t="s">
        <x:v>375</x:v>
      </x:c>
      <x:c r="C166" t="s">
        <x:v>376</x:v>
      </x:c>
      <x:c r="D166" t="s">
        <x:v>116</x:v>
      </x:c>
      <x:c r="E166" s="20">
        <x:v>0</x:v>
      </x:c>
      <x:c r="F166">
        <x:v>180</x:v>
      </x:c>
      <x:c r="G166" s="27" t="n">
        <x:f t="shared" si="8">MAX(0,42.71-(0.42*A166))</x:f>
        <x:v>0</x:v>
      </x:c>
      <x:c r="H166" s="27" t="str">
        <x:f t="shared" si="9">IF(E166="","",E166-G166)</x:f>
      </x:c>
      <x:c r="I166" t="str">
        <x:f t="shared" si="10">IF(E166="","No Auction Value",IF(OR(H166&gt;=8,J166&gt;=15),"🔥 STEAL",IF(OR(H166&gt;=4,J166&gt;=7),"✅ VALUE",IF(OR(H166&gt;=1.5,J166&gt;=3),"👍 SLIGHT VALUE",IF(AND(H166&gt;-1.5,H166&lt;1.5,J166&gt;-3,J166&lt;3),"FAIR",IF(OR(H166&lt;=-5,J166&lt;=-10),"❌ AVOID","⚠️ REACH"))))))</x:f>
        <x:v>No Auction Value</x:v>
      </x:c>
      <x:c r="J166" s="28" t="n">
        <x:f t="shared" si="11">IF(F166="","",A166-F166)</x:f>
        <x:v>-15</x:v>
      </x:c>
    </x:row>
    <x:row r="167">
      <x:c r="A167">
        <x:v>166</x:v>
      </x:c>
      <x:c r="B167" t="s">
        <x:v>377</x:v>
      </x:c>
      <x:c r="C167" t="s">
        <x:v>378</x:v>
      </x:c>
      <x:c r="D167" t="s">
        <x:v>9</x:v>
      </x:c>
      <x:c r="E167" s="20">
        <x:v>0</x:v>
      </x:c>
      <x:c r="F167">
        <x:v>180</x:v>
      </x:c>
      <x:c r="G167" s="27" t="n">
        <x:f t="shared" si="8">MAX(0,42.71-(0.42*A167))</x:f>
        <x:v>0</x:v>
      </x:c>
      <x:c r="H167" s="27" t="str">
        <x:f t="shared" si="9">IF(E167="","",E167-G167)</x:f>
      </x:c>
      <x:c r="I167" t="str">
        <x:f t="shared" si="10">IF(E167="","No Auction Value",IF(OR(H167&gt;=8,J167&gt;=15),"🔥 STEAL",IF(OR(H167&gt;=4,J167&gt;=7),"✅ VALUE",IF(OR(H167&gt;=1.5,J167&gt;=3),"👍 SLIGHT VALUE",IF(AND(H167&gt;-1.5,H167&lt;1.5,J167&gt;-3,J167&lt;3),"FAIR",IF(OR(H167&lt;=-5,J167&lt;=-10),"❌ AVOID","⚠️ REACH"))))))</x:f>
        <x:v>No Auction Value</x:v>
      </x:c>
      <x:c r="J167" s="28" t="n">
        <x:f t="shared" si="11">IF(F167="","",A167-F167)</x:f>
        <x:v>-14</x:v>
      </x:c>
    </x:row>
    <x:row r="168">
      <x:c r="A168">
        <x:v>167</x:v>
      </x:c>
      <x:c r="B168" t="s">
        <x:v>379</x:v>
      </x:c>
      <x:c r="C168" t="s">
        <x:v>380</x:v>
      </x:c>
      <x:c r="D168" t="s">
        <x:v>14</x:v>
      </x:c>
      <x:c r="E168" s="20">
        <x:v>0</x:v>
      </x:c>
      <x:c r="F168">
        <x:v>180</x:v>
      </x:c>
      <x:c r="G168" s="27" t="n">
        <x:f t="shared" si="8">MAX(0,42.71-(0.42*A168))</x:f>
        <x:v>0</x:v>
      </x:c>
      <x:c r="H168" s="27" t="str">
        <x:f t="shared" si="9">IF(E168="","",E168-G168)</x:f>
      </x:c>
      <x:c r="I168" t="str">
        <x:f t="shared" si="10">IF(E168="","No Auction Value",IF(OR(H168&gt;=8,J168&gt;=15),"🔥 STEAL",IF(OR(H168&gt;=4,J168&gt;=7),"✅ VALUE",IF(OR(H168&gt;=1.5,J168&gt;=3),"👍 SLIGHT VALUE",IF(AND(H168&gt;-1.5,H168&lt;1.5,J168&gt;-3,J168&lt;3),"FAIR",IF(OR(H168&lt;=-5,J168&lt;=-10),"❌ AVOID","⚠️ REACH"))))))</x:f>
        <x:v>No Auction Value</x:v>
      </x:c>
      <x:c r="J168" s="28" t="n">
        <x:f t="shared" si="11">IF(F168="","",A168-F168)</x:f>
        <x:v>-13</x:v>
      </x:c>
    </x:row>
    <x:row r="169">
      <x:c r="A169">
        <x:v>168</x:v>
      </x:c>
      <x:c r="B169" t="s">
        <x:v>381</x:v>
      </x:c>
      <x:c r="C169" t="s">
        <x:v>382</x:v>
      </x:c>
      <x:c r="D169" t="s">
        <x:v>9</x:v>
      </x:c>
      <x:c r="E169" s="20">
        <x:v>4</x:v>
      </x:c>
      <x:c r="F169">
        <x:v>118</x:v>
      </x:c>
      <x:c r="G169" s="27" t="n">
        <x:f t="shared" si="8">MAX(0,42.71-(0.42*A169))</x:f>
        <x:v>0</x:v>
      </x:c>
      <x:c r="H169" s="27" t="n">
        <x:f t="shared" si="9">IF(E169="","",E169-G169)</x:f>
        <x:v>4</x:v>
      </x:c>
      <x:c r="I169" t="str">
        <x:f t="shared" si="10">IF(E169="","No Auction Value",IF(OR(H169&gt;=8,J169&gt;=15),"🔥 STEAL",IF(OR(H169&gt;=4,J169&gt;=7),"✅ VALUE",IF(OR(H169&gt;=1.5,J169&gt;=3),"👍 SLIGHT VALUE",IF(AND(H169&gt;-1.5,H169&lt;1.5,J169&gt;-3,J169&lt;3),"FAIR",IF(OR(H169&lt;=-5,J169&lt;=-10),"❌ AVOID","⚠️ REACH"))))))</x:f>
        <x:v>🔥 STEAL</x:v>
      </x:c>
      <x:c r="J169" s="28" t="n">
        <x:f t="shared" si="11">IF(F169="","",A169-F169)</x:f>
        <x:v>50</x:v>
      </x:c>
    </x:row>
    <x:row r="170">
      <x:c r="A170">
        <x:v>169</x:v>
      </x:c>
      <x:c r="B170" t="s">
        <x:v>383</x:v>
      </x:c>
      <x:c r="C170" t="s">
        <x:v>384</x:v>
      </x:c>
      <x:c r="D170" t="s">
        <x:v>14</x:v>
      </x:c>
      <x:c r="E170" s="20">
        <x:v>0</x:v>
      </x:c>
      <x:c r="F170">
        <x:v>180</x:v>
      </x:c>
      <x:c r="G170" s="27" t="n">
        <x:f t="shared" si="8">MAX(0,42.71-(0.42*A170))</x:f>
        <x:v>0</x:v>
      </x:c>
      <x:c r="H170" s="27" t="str">
        <x:f t="shared" si="9">IF(E170="","",E170-G170)</x:f>
      </x:c>
      <x:c r="I170" t="str">
        <x:f t="shared" si="10">IF(E170="","No Auction Value",IF(OR(H170&gt;=8,J170&gt;=15),"🔥 STEAL",IF(OR(H170&gt;=4,J170&gt;=7),"✅ VALUE",IF(OR(H170&gt;=1.5,J170&gt;=3),"👍 SLIGHT VALUE",IF(AND(H170&gt;-1.5,H170&lt;1.5,J170&gt;-3,J170&lt;3),"FAIR",IF(OR(H170&lt;=-5,J170&lt;=-10),"❌ AVOID","⚠️ REACH"))))))</x:f>
        <x:v>No Auction Value</x:v>
      </x:c>
      <x:c r="J170" s="28" t="n">
        <x:f t="shared" si="11">IF(F170="","",A170-F170)</x:f>
        <x:v>-11</x:v>
      </x:c>
    </x:row>
    <x:row r="171">
      <x:c r="A171">
        <x:v>170</x:v>
      </x:c>
      <x:c r="B171" t="s">
        <x:v>385</x:v>
      </x:c>
      <x:c r="C171" t="s">
        <x:v>386</x:v>
      </x:c>
      <x:c r="D171" t="s">
        <x:v>9</x:v>
      </x:c>
      <x:c r="E171" s="20">
        <x:v>0</x:v>
      </x:c>
      <x:c r="F171">
        <x:v>180</x:v>
      </x:c>
      <x:c r="G171" s="27" t="n">
        <x:f t="shared" si="8">MAX(0,42.71-(0.42*A171))</x:f>
        <x:v>0</x:v>
      </x:c>
      <x:c r="H171" s="27" t="str">
        <x:f t="shared" si="9">IF(E171="","",E171-G171)</x:f>
      </x:c>
      <x:c r="I171" t="str">
        <x:f t="shared" si="10">IF(E171="","No Auction Value",IF(OR(H171&gt;=8,J171&gt;=15),"🔥 STEAL",IF(OR(H171&gt;=4,J171&gt;=7),"✅ VALUE",IF(OR(H171&gt;=1.5,J171&gt;=3),"👍 SLIGHT VALUE",IF(AND(H171&gt;-1.5,H171&lt;1.5,J171&gt;-3,J171&lt;3),"FAIR",IF(OR(H171&lt;=-5,J171&lt;=-10),"❌ AVOID","⚠️ REACH"))))))</x:f>
        <x:v>No Auction Value</x:v>
      </x:c>
      <x:c r="J171" s="28" t="n">
        <x:f t="shared" si="11">IF(F171="","",A171-F171)</x:f>
        <x:v>-10</x:v>
      </x:c>
    </x:row>
    <x:row r="172">
      <x:c r="A172">
        <x:v>171</x:v>
      </x:c>
      <x:c r="B172" t="s">
        <x:v>387</x:v>
      </x:c>
      <x:c r="C172" t="s">
        <x:v>388</x:v>
      </x:c>
      <x:c r="D172" t="s">
        <x:v>14</x:v>
      </x:c>
      <x:c r="E172" s="20">
        <x:v>2</x:v>
      </x:c>
      <x:c r="F172">
        <x:v>136</x:v>
      </x:c>
      <x:c r="G172" s="27" t="n">
        <x:f t="shared" si="8">MAX(0,42.71-(0.42*A172))</x:f>
        <x:v>0</x:v>
      </x:c>
      <x:c r="H172" s="27" t="n">
        <x:f t="shared" si="9">IF(E172="","",E172-G172)</x:f>
        <x:v>2</x:v>
      </x:c>
      <x:c r="I172" t="str">
        <x:f t="shared" si="10">IF(E172="","No Auction Value",IF(OR(H172&gt;=8,J172&gt;=15),"🔥 STEAL",IF(OR(H172&gt;=4,J172&gt;=7),"✅ VALUE",IF(OR(H172&gt;=1.5,J172&gt;=3),"👍 SLIGHT VALUE",IF(AND(H172&gt;-1.5,H172&lt;1.5,J172&gt;-3,J172&lt;3),"FAIR",IF(OR(H172&lt;=-5,J172&lt;=-10),"❌ AVOID","⚠️ REACH"))))))</x:f>
        <x:v>🔥 STEAL</x:v>
      </x:c>
      <x:c r="J172" s="28" t="n">
        <x:f t="shared" si="11">IF(F172="","",A172-F172)</x:f>
        <x:v>35</x:v>
      </x:c>
    </x:row>
    <x:row r="173">
      <x:c r="A173">
        <x:v>172</x:v>
      </x:c>
      <x:c r="B173" t="s">
        <x:v>389</x:v>
      </x:c>
      <x:c r="C173" t="s">
        <x:v>390</x:v>
      </x:c>
      <x:c r="D173" t="s">
        <x:v>14</x:v>
      </x:c>
      <x:c r="E173" s="20">
        <x:v>0</x:v>
      </x:c>
      <x:c r="F173">
        <x:v>180</x:v>
      </x:c>
      <x:c r="G173" s="27" t="n">
        <x:f t="shared" si="8">MAX(0,42.71-(0.42*A173))</x:f>
        <x:v>0</x:v>
      </x:c>
      <x:c r="H173" s="27" t="str">
        <x:f t="shared" si="9">IF(E173="","",E173-G173)</x:f>
      </x:c>
      <x:c r="I173" t="str">
        <x:f t="shared" si="10">IF(E173="","No Auction Value",IF(OR(H173&gt;=8,J173&gt;=15),"🔥 STEAL",IF(OR(H173&gt;=4,J173&gt;=7),"✅ VALUE",IF(OR(H173&gt;=1.5,J173&gt;=3),"👍 SLIGHT VALUE",IF(AND(H173&gt;-1.5,H173&lt;1.5,J173&gt;-3,J173&lt;3),"FAIR",IF(OR(H173&lt;=-5,J173&lt;=-10),"❌ AVOID","⚠️ REACH"))))))</x:f>
        <x:v>No Auction Value</x:v>
      </x:c>
      <x:c r="J173" s="28" t="n">
        <x:f t="shared" si="11">IF(F173="","",A173-F173)</x:f>
        <x:v>-8</x:v>
      </x:c>
    </x:row>
    <x:row r="174">
      <x:c r="A174">
        <x:v>173</x:v>
      </x:c>
      <x:c r="B174" t="s">
        <x:v>391</x:v>
      </x:c>
      <x:c r="C174" t="s">
        <x:v>392</x:v>
      </x:c>
      <x:c r="D174" t="s">
        <x:v>65</x:v>
      </x:c>
      <x:c r="E174" s="20">
        <x:v>0</x:v>
      </x:c>
      <x:c r="F174">
        <x:v>180</x:v>
      </x:c>
      <x:c r="G174" s="27" t="n">
        <x:f t="shared" si="8">MAX(0,42.71-(0.42*A174))</x:f>
        <x:v>0</x:v>
      </x:c>
      <x:c r="H174" s="27" t="str">
        <x:f t="shared" si="9">IF(E174="","",E174-G174)</x:f>
      </x:c>
      <x:c r="I174" t="str">
        <x:f t="shared" si="10">IF(E174="","No Auction Value",IF(OR(H174&gt;=8,J174&gt;=15),"🔥 STEAL",IF(OR(H174&gt;=4,J174&gt;=7),"✅ VALUE",IF(OR(H174&gt;=1.5,J174&gt;=3),"👍 SLIGHT VALUE",IF(AND(H174&gt;-1.5,H174&lt;1.5,J174&gt;-3,J174&lt;3),"FAIR",IF(OR(H174&lt;=-5,J174&lt;=-10),"❌ AVOID","⚠️ REACH"))))))</x:f>
        <x:v>No Auction Value</x:v>
      </x:c>
      <x:c r="J174" s="28" t="n">
        <x:f t="shared" si="11">IF(F174="","",A174-F174)</x:f>
        <x:v>-7</x:v>
      </x:c>
    </x:row>
    <x:row r="175">
      <x:c r="A175">
        <x:v>174</x:v>
      </x:c>
      <x:c r="B175" t="s">
        <x:v>393</x:v>
      </x:c>
      <x:c r="C175" t="s">
        <x:v>394</x:v>
      </x:c>
      <x:c r="D175" t="s">
        <x:v>14</x:v>
      </x:c>
      <x:c r="E175" s="20">
        <x:v>0</x:v>
      </x:c>
      <x:c r="F175">
        <x:v>180</x:v>
      </x:c>
      <x:c r="G175" s="27" t="n">
        <x:f t="shared" si="8">MAX(0,42.71-(0.42*A175))</x:f>
        <x:v>0</x:v>
      </x:c>
      <x:c r="H175" s="27" t="str">
        <x:f t="shared" si="9">IF(E175="","",E175-G175)</x:f>
      </x:c>
      <x:c r="I175" t="str">
        <x:f t="shared" si="10">IF(E175="","No Auction Value",IF(OR(H175&gt;=8,J175&gt;=15),"🔥 STEAL",IF(OR(H175&gt;=4,J175&gt;=7),"✅ VALUE",IF(OR(H175&gt;=1.5,J175&gt;=3),"👍 SLIGHT VALUE",IF(AND(H175&gt;-1.5,H175&lt;1.5,J175&gt;-3,J175&lt;3),"FAIR",IF(OR(H175&lt;=-5,J175&lt;=-10),"❌ AVOID","⚠️ REACH"))))))</x:f>
        <x:v>No Auction Value</x:v>
      </x:c>
      <x:c r="J175" s="28" t="n">
        <x:f t="shared" si="11">IF(F175="","",A175-F175)</x:f>
        <x:v>-6</x:v>
      </x:c>
    </x:row>
    <x:row r="176">
      <x:c r="A176">
        <x:v>175</x:v>
      </x:c>
      <x:c r="B176" t="s">
        <x:v>395</x:v>
      </x:c>
      <x:c r="C176" t="s">
        <x:v>396</x:v>
      </x:c>
      <x:c r="D176" t="s">
        <x:v>14</x:v>
      </x:c>
      <x:c r="E176" s="20">
        <x:v>0</x:v>
      </x:c>
      <x:c r="F176">
        <x:v>180</x:v>
      </x:c>
      <x:c r="G176" s="27" t="n">
        <x:f t="shared" si="8">MAX(0,42.71-(0.42*A176))</x:f>
        <x:v>0</x:v>
      </x:c>
      <x:c r="H176" s="27" t="str">
        <x:f t="shared" si="9">IF(E176="","",E176-G176)</x:f>
      </x:c>
      <x:c r="I176" t="str">
        <x:f t="shared" si="10">IF(E176="","No Auction Value",IF(OR(H176&gt;=8,J176&gt;=15),"🔥 STEAL",IF(OR(H176&gt;=4,J176&gt;=7),"✅ VALUE",IF(OR(H176&gt;=1.5,J176&gt;=3),"👍 SLIGHT VALUE",IF(AND(H176&gt;-1.5,H176&lt;1.5,J176&gt;-3,J176&lt;3),"FAIR",IF(OR(H176&lt;=-5,J176&lt;=-10),"❌ AVOID","⚠️ REACH"))))))</x:f>
        <x:v>No Auction Value</x:v>
      </x:c>
      <x:c r="J176" s="28" t="n">
        <x:f t="shared" si="11">IF(F176="","",A176-F176)</x:f>
        <x:v>-5</x:v>
      </x:c>
    </x:row>
    <x:row r="177">
      <x:c r="A177">
        <x:v>176</x:v>
      </x:c>
      <x:c r="B177" t="s">
        <x:v>397</x:v>
      </x:c>
      <x:c r="C177" t="s">
        <x:v>398</x:v>
      </x:c>
      <x:c r="D177" t="s">
        <x:v>14</x:v>
      </x:c>
      <x:c r="E177" s="20">
        <x:v>0</x:v>
      </x:c>
      <x:c r="F177">
        <x:v>180</x:v>
      </x:c>
      <x:c r="G177" s="27" t="n">
        <x:f t="shared" si="8">MAX(0,42.71-(0.42*A177))</x:f>
        <x:v>0</x:v>
      </x:c>
      <x:c r="H177" s="27" t="str">
        <x:f t="shared" si="9">IF(E177="","",E177-G177)</x:f>
      </x:c>
      <x:c r="I177" t="str">
        <x:f t="shared" si="10">IF(E177="","No Auction Value",IF(OR(H177&gt;=8,J177&gt;=15),"🔥 STEAL",IF(OR(H177&gt;=4,J177&gt;=7),"✅ VALUE",IF(OR(H177&gt;=1.5,J177&gt;=3),"👍 SLIGHT VALUE",IF(AND(H177&gt;-1.5,H177&lt;1.5,J177&gt;-3,J177&lt;3),"FAIR",IF(OR(H177&lt;=-5,J177&lt;=-10),"❌ AVOID","⚠️ REACH"))))))</x:f>
        <x:v>No Auction Value</x:v>
      </x:c>
      <x:c r="J177" s="28" t="n">
        <x:f t="shared" si="11">IF(F177="","",A177-F177)</x:f>
        <x:v>-4</x:v>
      </x:c>
    </x:row>
    <x:row r="178">
      <x:c r="A178">
        <x:v>177</x:v>
      </x:c>
      <x:c r="B178" t="s">
        <x:v>399</x:v>
      </x:c>
      <x:c r="C178" t="s">
        <x:v>400</x:v>
      </x:c>
      <x:c r="D178" t="s">
        <x:v>116</x:v>
      </x:c>
      <x:c r="E178" s="20"/>
      <x:c r="G178" s="27" t="n">
        <x:f t="shared" si="8">MAX(0,42.71-(0.42*A178))</x:f>
        <x:v>0</x:v>
      </x:c>
      <x:c r="H178" s="27" t="str">
        <x:f t="shared" si="9">IF(E178="","",E178-G178)</x:f>
      </x:c>
      <x:c r="I178" t="str">
        <x:f t="shared" si="10">IF(E178="","No Auction Value",IF(OR(H178&gt;=8,J178&gt;=15),"🔥 STEAL",IF(OR(H178&gt;=4,J178&gt;=7),"✅ VALUE",IF(OR(H178&gt;=1.5,J178&gt;=3),"👍 SLIGHT VALUE",IF(AND(H178&gt;-1.5,H178&lt;1.5,J178&gt;-3,J178&lt;3),"FAIR",IF(OR(H178&lt;=-5,J178&lt;=-10),"❌ AVOID","⚠️ REACH"))))))</x:f>
        <x:v>No Auction Value</x:v>
      </x:c>
      <x:c r="J178" s="28" t="str">
        <x:f t="shared" si="11">IF(F178="","",A178-F178)</x:f>
      </x:c>
    </x:row>
    <x:row r="179">
      <x:c r="A179">
        <x:v>178</x:v>
      </x:c>
      <x:c r="B179" t="s">
        <x:v>401</x:v>
      </x:c>
      <x:c r="C179" t="s">
        <x:v>402</x:v>
      </x:c>
      <x:c r="D179" t="s">
        <x:v>14</x:v>
      </x:c>
      <x:c r="E179" s="20">
        <x:v>0</x:v>
      </x:c>
      <x:c r="F179">
        <x:v>180</x:v>
      </x:c>
      <x:c r="G179" s="27" t="n">
        <x:f t="shared" si="8">MAX(0,42.71-(0.42*A179))</x:f>
        <x:v>0</x:v>
      </x:c>
      <x:c r="H179" s="27" t="str">
        <x:f t="shared" si="9">IF(E179="","",E179-G179)</x:f>
      </x:c>
      <x:c r="I179" t="str">
        <x:f t="shared" si="10">IF(E179="","No Auction Value",IF(OR(H179&gt;=8,J179&gt;=15),"🔥 STEAL",IF(OR(H179&gt;=4,J179&gt;=7),"✅ VALUE",IF(OR(H179&gt;=1.5,J179&gt;=3),"👍 SLIGHT VALUE",IF(AND(H179&gt;-1.5,H179&lt;1.5,J179&gt;-3,J179&lt;3),"FAIR",IF(OR(H179&lt;=-5,J179&lt;=-10),"❌ AVOID","⚠️ REACH"))))))</x:f>
        <x:v>No Auction Value</x:v>
      </x:c>
      <x:c r="J179" s="28" t="n">
        <x:f t="shared" si="11">IF(F179="","",A179-F179)</x:f>
        <x:v>-2</x:v>
      </x:c>
    </x:row>
    <x:row r="180">
      <x:c r="A180">
        <x:v>179</x:v>
      </x:c>
      <x:c r="B180" t="s">
        <x:v>403</x:v>
      </x:c>
      <x:c r="C180" t="s">
        <x:v>404</x:v>
      </x:c>
      <x:c r="D180" t="s">
        <x:v>14</x:v>
      </x:c>
      <x:c r="E180" s="20">
        <x:v>0</x:v>
      </x:c>
      <x:c r="F180">
        <x:v>180</x:v>
      </x:c>
      <x:c r="G180" s="27" t="n">
        <x:f t="shared" si="8">MAX(0,42.71-(0.42*A180))</x:f>
        <x:v>0</x:v>
      </x:c>
      <x:c r="H180" s="27" t="str">
        <x:f t="shared" si="9">IF(E180="","",E180-G180)</x:f>
      </x:c>
      <x:c r="I180" t="str">
        <x:f t="shared" si="10">IF(E180="","No Auction Value",IF(OR(H180&gt;=8,J180&gt;=15),"🔥 STEAL",IF(OR(H180&gt;=4,J180&gt;=7),"✅ VALUE",IF(OR(H180&gt;=1.5,J180&gt;=3),"👍 SLIGHT VALUE",IF(AND(H180&gt;-1.5,H180&lt;1.5,J180&gt;-3,J180&lt;3),"FAIR",IF(OR(H180&lt;=-5,J180&lt;=-10),"❌ AVOID","⚠️ REACH"))))))</x:f>
        <x:v>No Auction Value</x:v>
      </x:c>
      <x:c r="J180" s="28" t="n">
        <x:f t="shared" si="11">IF(F180="","",A180-F180)</x:f>
        <x:v>-1</x:v>
      </x:c>
    </x:row>
    <x:row r="181">
      <x:c r="A181">
        <x:v>180</x:v>
      </x:c>
      <x:c r="B181" t="s">
        <x:v>405</x:v>
      </x:c>
      <x:c r="C181" t="s">
        <x:v>406</x:v>
      </x:c>
      <x:c r="D181" t="s">
        <x:v>14</x:v>
      </x:c>
      <x:c r="E181" s="20">
        <x:v>3</x:v>
      </x:c>
      <x:c r="F181">
        <x:v>127</x:v>
      </x:c>
      <x:c r="G181" s="27" t="n">
        <x:f t="shared" si="8">MAX(0,42.71-(0.42*A181))</x:f>
        <x:v>0</x:v>
      </x:c>
      <x:c r="H181" s="27" t="n">
        <x:f t="shared" si="9">IF(E181="","",E181-G181)</x:f>
        <x:v>3</x:v>
      </x:c>
      <x:c r="I181" t="str">
        <x:f t="shared" si="10">IF(E181="","No Auction Value",IF(OR(H181&gt;=8,J181&gt;=15),"🔥 STEAL",IF(OR(H181&gt;=4,J181&gt;=7),"✅ VALUE",IF(OR(H181&gt;=1.5,J181&gt;=3),"👍 SLIGHT VALUE",IF(AND(H181&gt;-1.5,H181&lt;1.5,J181&gt;-3,J181&lt;3),"FAIR",IF(OR(H181&lt;=-5,J181&lt;=-10),"❌ AVOID","⚠️ REACH"))))))</x:f>
        <x:v>🔥 STEAL</x:v>
      </x:c>
      <x:c r="J181" s="28" t="n">
        <x:f t="shared" si="11">IF(F181="","",A181-F181)</x:f>
        <x:v>53</x:v>
      </x:c>
    </x:row>
    <x:row r="182">
      <x:c r="A182">
        <x:v>181</x:v>
      </x:c>
      <x:c r="B182" t="s">
        <x:v>407</x:v>
      </x:c>
      <x:c r="C182" t="s">
        <x:v>408</x:v>
      </x:c>
      <x:c r="D182" t="s">
        <x:v>14</x:v>
      </x:c>
      <x:c r="E182" s="20">
        <x:v>0</x:v>
      </x:c>
      <x:c r="F182">
        <x:v>180</x:v>
      </x:c>
      <x:c r="G182" s="27" t="n">
        <x:f t="shared" si="8">MAX(0,42.71-(0.42*A182))</x:f>
        <x:v>0</x:v>
      </x:c>
      <x:c r="H182" s="27" t="str">
        <x:f t="shared" si="9">IF(E182="","",E182-G182)</x:f>
      </x:c>
      <x:c r="I182" t="str">
        <x:f t="shared" si="10">IF(E182="","No Auction Value",IF(OR(H182&gt;=8,J182&gt;=15),"🔥 STEAL",IF(OR(H182&gt;=4,J182&gt;=7),"✅ VALUE",IF(OR(H182&gt;=1.5,J182&gt;=3),"👍 SLIGHT VALUE",IF(AND(H182&gt;-1.5,H182&lt;1.5,J182&gt;-3,J182&lt;3),"FAIR",IF(OR(H182&lt;=-5,J182&lt;=-10),"❌ AVOID","⚠️ REACH"))))))</x:f>
        <x:v>No Auction Value</x:v>
      </x:c>
      <x:c r="J182" s="28" t="n">
        <x:f t="shared" si="11">IF(F182="","",A182-F182)</x:f>
        <x:v>1</x:v>
      </x:c>
    </x:row>
    <x:row r="183">
      <x:c r="A183">
        <x:v>182</x:v>
      </x:c>
      <x:c r="B183" t="s">
        <x:v>409</x:v>
      </x:c>
      <x:c r="C183" t="s">
        <x:v>410</x:v>
      </x:c>
      <x:c r="D183" t="s">
        <x:v>14</x:v>
      </x:c>
      <x:c r="E183" s="20">
        <x:v>0</x:v>
      </x:c>
      <x:c r="F183">
        <x:v>180</x:v>
      </x:c>
      <x:c r="G183" s="27" t="n">
        <x:f t="shared" si="8">MAX(0,42.71-(0.42*A183))</x:f>
        <x:v>0</x:v>
      </x:c>
      <x:c r="H183" s="27" t="str">
        <x:f t="shared" si="9">IF(E183="","",E183-G183)</x:f>
      </x:c>
      <x:c r="I183" t="str">
        <x:f t="shared" si="10">IF(E183="","No Auction Value",IF(OR(H183&gt;=8,J183&gt;=15),"🔥 STEAL",IF(OR(H183&gt;=4,J183&gt;=7),"✅ VALUE",IF(OR(H183&gt;=1.5,J183&gt;=3),"👍 SLIGHT VALUE",IF(AND(H183&gt;-1.5,H183&lt;1.5,J183&gt;-3,J183&lt;3),"FAIR",IF(OR(H183&lt;=-5,J183&lt;=-10),"❌ AVOID","⚠️ REACH"))))))</x:f>
        <x:v>No Auction Value</x:v>
      </x:c>
      <x:c r="J183" s="28" t="n">
        <x:f t="shared" si="11">IF(F183="","",A183-F183)</x:f>
        <x:v>2</x:v>
      </x:c>
    </x:row>
    <x:row r="184">
      <x:c r="A184">
        <x:v>183</x:v>
      </x:c>
      <x:c r="B184" t="s">
        <x:v>411</x:v>
      </x:c>
      <x:c r="C184" t="s">
        <x:v>412</x:v>
      </x:c>
      <x:c r="D184" t="s">
        <x:v>14</x:v>
      </x:c>
      <x:c r="E184" s="20">
        <x:v>0</x:v>
      </x:c>
      <x:c r="F184">
        <x:v>180</x:v>
      </x:c>
      <x:c r="G184" s="27" t="n">
        <x:f t="shared" si="8">MAX(0,42.71-(0.42*A184))</x:f>
        <x:v>0</x:v>
      </x:c>
      <x:c r="H184" s="27" t="str">
        <x:f t="shared" si="9">IF(E184="","",E184-G184)</x:f>
      </x:c>
      <x:c r="I184" t="str">
        <x:f t="shared" si="10">IF(E184="","No Auction Value",IF(OR(H184&gt;=8,J184&gt;=15),"🔥 STEAL",IF(OR(H184&gt;=4,J184&gt;=7),"✅ VALUE",IF(OR(H184&gt;=1.5,J184&gt;=3),"👍 SLIGHT VALUE",IF(AND(H184&gt;-1.5,H184&lt;1.5,J184&gt;-3,J184&lt;3),"FAIR",IF(OR(H184&lt;=-5,J184&lt;=-10),"❌ AVOID","⚠️ REACH"))))))</x:f>
        <x:v>No Auction Value</x:v>
      </x:c>
      <x:c r="J184" s="28" t="n">
        <x:f t="shared" si="11">IF(F184="","",A184-F184)</x:f>
        <x:v>3</x:v>
      </x:c>
    </x:row>
    <x:row r="185">
      <x:c r="A185">
        <x:v>184</x:v>
      </x:c>
      <x:c r="B185" t="s">
        <x:v>413</x:v>
      </x:c>
      <x:c r="C185" t="s">
        <x:v>414</x:v>
      </x:c>
      <x:c r="D185" t="s">
        <x:v>9</x:v>
      </x:c>
      <x:c r="E185" s="20">
        <x:v>3</x:v>
      </x:c>
      <x:c r="F185">
        <x:v>127</x:v>
      </x:c>
      <x:c r="G185" s="27" t="n">
        <x:f t="shared" si="8">MAX(0,42.71-(0.42*A185))</x:f>
        <x:v>0</x:v>
      </x:c>
      <x:c r="H185" s="27" t="n">
        <x:f t="shared" si="9">IF(E185="","",E185-G185)</x:f>
        <x:v>3</x:v>
      </x:c>
      <x:c r="I185" t="str">
        <x:f t="shared" si="10">IF(E185="","No Auction Value",IF(OR(H185&gt;=8,J185&gt;=15),"🔥 STEAL",IF(OR(H185&gt;=4,J185&gt;=7),"✅ VALUE",IF(OR(H185&gt;=1.5,J185&gt;=3),"👍 SLIGHT VALUE",IF(AND(H185&gt;-1.5,H185&lt;1.5,J185&gt;-3,J185&lt;3),"FAIR",IF(OR(H185&lt;=-5,J185&lt;=-10),"❌ AVOID","⚠️ REACH"))))))</x:f>
        <x:v>🔥 STEAL</x:v>
      </x:c>
      <x:c r="J185" s="28" t="n">
        <x:f t="shared" si="11">IF(F185="","",A185-F185)</x:f>
        <x:v>57</x:v>
      </x:c>
    </x:row>
    <x:row r="186">
      <x:c r="A186">
        <x:v>185</x:v>
      </x:c>
      <x:c r="B186" t="s">
        <x:v>415</x:v>
      </x:c>
      <x:c r="C186" t="s">
        <x:v>416</x:v>
      </x:c>
      <x:c r="D186" t="s">
        <x:v>9</x:v>
      </x:c>
      <x:c r="E186" s="20">
        <x:v>0</x:v>
      </x:c>
      <x:c r="F186">
        <x:v>180</x:v>
      </x:c>
      <x:c r="G186" s="27" t="n">
        <x:f t="shared" si="8">MAX(0,42.71-(0.42*A186))</x:f>
        <x:v>0</x:v>
      </x:c>
      <x:c r="H186" s="27" t="str">
        <x:f t="shared" si="9">IF(E186="","",E186-G186)</x:f>
      </x:c>
      <x:c r="I186" t="str">
        <x:f t="shared" si="10">IF(E186="","No Auction Value",IF(OR(H186&gt;=8,J186&gt;=15),"🔥 STEAL",IF(OR(H186&gt;=4,J186&gt;=7),"✅ VALUE",IF(OR(H186&gt;=1.5,J186&gt;=3),"👍 SLIGHT VALUE",IF(AND(H186&gt;-1.5,H186&lt;1.5,J186&gt;-3,J186&lt;3),"FAIR",IF(OR(H186&lt;=-5,J186&lt;=-10),"❌ AVOID","⚠️ REACH"))))))</x:f>
        <x:v>No Auction Value</x:v>
      </x:c>
      <x:c r="J186" s="28" t="n">
        <x:f t="shared" si="11">IF(F186="","",A186-F186)</x:f>
        <x:v>5</x:v>
      </x:c>
    </x:row>
    <x:row r="187">
      <x:c r="A187">
        <x:v>186</x:v>
      </x:c>
      <x:c r="B187" t="s">
        <x:v>417</x:v>
      </x:c>
      <x:c r="C187" t="s">
        <x:v>418</x:v>
      </x:c>
      <x:c r="D187" t="s">
        <x:v>9</x:v>
      </x:c>
      <x:c r="E187" s="20">
        <x:v>0</x:v>
      </x:c>
      <x:c r="F187">
        <x:v>180</x:v>
      </x:c>
      <x:c r="G187" s="27" t="n">
        <x:f t="shared" si="8">MAX(0,42.71-(0.42*A187))</x:f>
        <x:v>0</x:v>
      </x:c>
      <x:c r="H187" s="27" t="str">
        <x:f t="shared" si="9">IF(E187="","",E187-G187)</x:f>
      </x:c>
      <x:c r="I187" t="str">
        <x:f t="shared" si="10">IF(E187="","No Auction Value",IF(OR(H187&gt;=8,J187&gt;=15),"🔥 STEAL",IF(OR(H187&gt;=4,J187&gt;=7),"✅ VALUE",IF(OR(H187&gt;=1.5,J187&gt;=3),"👍 SLIGHT VALUE",IF(AND(H187&gt;-1.5,H187&lt;1.5,J187&gt;-3,J187&lt;3),"FAIR",IF(OR(H187&lt;=-5,J187&lt;=-10),"❌ AVOID","⚠️ REACH"))))))</x:f>
        <x:v>No Auction Value</x:v>
      </x:c>
      <x:c r="J187" s="28" t="n">
        <x:f t="shared" si="11">IF(F187="","",A187-F187)</x:f>
        <x:v>6</x:v>
      </x:c>
    </x:row>
    <x:row r="188">
      <x:c r="A188">
        <x:v>187</x:v>
      </x:c>
      <x:c r="B188" t="s">
        <x:v>419</x:v>
      </x:c>
      <x:c r="C188" t="s">
        <x:v>420</x:v>
      </x:c>
      <x:c r="D188" t="s">
        <x:v>9</x:v>
      </x:c>
      <x:c r="E188" s="20"/>
      <x:c r="G188" s="27" t="n">
        <x:f t="shared" si="8">MAX(0,42.71-(0.42*A188))</x:f>
        <x:v>0</x:v>
      </x:c>
      <x:c r="H188" s="27" t="str">
        <x:f t="shared" si="9">IF(E188="","",E188-G188)</x:f>
      </x:c>
      <x:c r="I188" t="str">
        <x:f t="shared" si="10">IF(E188="","No Auction Value",IF(OR(H188&gt;=8,J188&gt;=15),"🔥 STEAL",IF(OR(H188&gt;=4,J188&gt;=7),"✅ VALUE",IF(OR(H188&gt;=1.5,J188&gt;=3),"👍 SLIGHT VALUE",IF(AND(H188&gt;-1.5,H188&lt;1.5,J188&gt;-3,J188&lt;3),"FAIR",IF(OR(H188&lt;=-5,J188&lt;=-10),"❌ AVOID","⚠️ REACH"))))))</x:f>
        <x:v>No Auction Value</x:v>
      </x:c>
      <x:c r="J188" s="28" t="str">
        <x:f t="shared" si="11">IF(F188="","",A188-F188)</x:f>
      </x:c>
    </x:row>
    <x:row r="189">
      <x:c r="A189">
        <x:v>188</x:v>
      </x:c>
      <x:c r="B189" t="s">
        <x:v>421</x:v>
      </x:c>
      <x:c r="C189" t="s">
        <x:v>422</x:v>
      </x:c>
      <x:c r="D189" t="s">
        <x:v>14</x:v>
      </x:c>
      <x:c r="E189" s="20">
        <x:v>0</x:v>
      </x:c>
      <x:c r="F189">
        <x:v>180</x:v>
      </x:c>
      <x:c r="G189" s="27" t="n">
        <x:f t="shared" si="8">MAX(0,42.71-(0.42*A189))</x:f>
        <x:v>0</x:v>
      </x:c>
      <x:c r="H189" s="27" t="str">
        <x:f t="shared" si="9">IF(E189="","",E189-G189)</x:f>
      </x:c>
      <x:c r="I189" t="str">
        <x:f t="shared" si="10">IF(E189="","No Auction Value",IF(OR(H189&gt;=8,J189&gt;=15),"🔥 STEAL",IF(OR(H189&gt;=4,J189&gt;=7),"✅ VALUE",IF(OR(H189&gt;=1.5,J189&gt;=3),"👍 SLIGHT VALUE",IF(AND(H189&gt;-1.5,H189&lt;1.5,J189&gt;-3,J189&lt;3),"FAIR",IF(OR(H189&lt;=-5,J189&lt;=-10),"❌ AVOID","⚠️ REACH"))))))</x:f>
        <x:v>No Auction Value</x:v>
      </x:c>
      <x:c r="J189" s="28" t="n">
        <x:f t="shared" si="11">IF(F189="","",A189-F189)</x:f>
        <x:v>8</x:v>
      </x:c>
    </x:row>
    <x:row r="190">
      <x:c r="A190">
        <x:v>189</x:v>
      </x:c>
      <x:c r="B190" t="s">
        <x:v>423</x:v>
      </x:c>
      <x:c r="C190" t="s">
        <x:v>424</x:v>
      </x:c>
      <x:c r="D190" t="s">
        <x:v>9</x:v>
      </x:c>
      <x:c r="E190" s="20">
        <x:v>2</x:v>
      </x:c>
      <x:c r="F190">
        <x:v>136</x:v>
      </x:c>
      <x:c r="G190" s="27" t="n">
        <x:f t="shared" si="8">MAX(0,42.71-(0.42*A190))</x:f>
        <x:v>0</x:v>
      </x:c>
      <x:c r="H190" s="27" t="n">
        <x:f t="shared" si="9">IF(E190="","",E190-G190)</x:f>
        <x:v>2</x:v>
      </x:c>
      <x:c r="I190" t="str">
        <x:f t="shared" si="10">IF(E190="","No Auction Value",IF(OR(H190&gt;=8,J190&gt;=15),"🔥 STEAL",IF(OR(H190&gt;=4,J190&gt;=7),"✅ VALUE",IF(OR(H190&gt;=1.5,J190&gt;=3),"👍 SLIGHT VALUE",IF(AND(H190&gt;-1.5,H190&lt;1.5,J190&gt;-3,J190&lt;3),"FAIR",IF(OR(H190&lt;=-5,J190&lt;=-10),"❌ AVOID","⚠️ REACH"))))))</x:f>
        <x:v>🔥 STEAL</x:v>
      </x:c>
      <x:c r="J190" s="28" t="n">
        <x:f t="shared" si="11">IF(F190="","",A190-F190)</x:f>
        <x:v>53</x:v>
      </x:c>
    </x:row>
    <x:row r="191">
      <x:c r="A191">
        <x:v>190</x:v>
      </x:c>
      <x:c r="B191" t="s">
        <x:v>425</x:v>
      </x:c>
      <x:c r="C191" t="s">
        <x:v>426</x:v>
      </x:c>
      <x:c r="D191" t="s">
        <x:v>116</x:v>
      </x:c>
      <x:c r="E191" s="20">
        <x:v>0</x:v>
      </x:c>
      <x:c r="F191">
        <x:v>180</x:v>
      </x:c>
      <x:c r="G191" s="27" t="n">
        <x:f t="shared" si="8">MAX(0,42.71-(0.42*A191))</x:f>
        <x:v>0</x:v>
      </x:c>
      <x:c r="H191" s="27" t="str">
        <x:f t="shared" si="9">IF(E191="","",E191-G191)</x:f>
      </x:c>
      <x:c r="I191" t="str">
        <x:f t="shared" si="10">IF(E191="","No Auction Value",IF(OR(H191&gt;=8,J191&gt;=15),"🔥 STEAL",IF(OR(H191&gt;=4,J191&gt;=7),"✅ VALUE",IF(OR(H191&gt;=1.5,J191&gt;=3),"👍 SLIGHT VALUE",IF(AND(H191&gt;-1.5,H191&lt;1.5,J191&gt;-3,J191&lt;3),"FAIR",IF(OR(H191&lt;=-5,J191&lt;=-10),"❌ AVOID","⚠️ REACH"))))))</x:f>
        <x:v>No Auction Value</x:v>
      </x:c>
      <x:c r="J191" s="28" t="n">
        <x:f t="shared" si="11">IF(F191="","",A191-F191)</x:f>
        <x:v>10</x:v>
      </x:c>
    </x:row>
    <x:row r="192">
      <x:c r="A192">
        <x:v>191</x:v>
      </x:c>
      <x:c r="B192" t="s">
        <x:v>427</x:v>
      </x:c>
      <x:c r="C192" t="s">
        <x:v>428</x:v>
      </x:c>
      <x:c r="D192" t="s">
        <x:v>14</x:v>
      </x:c>
      <x:c r="E192" s="20">
        <x:v>0</x:v>
      </x:c>
      <x:c r="F192">
        <x:v>180</x:v>
      </x:c>
      <x:c r="G192" s="27" t="n">
        <x:f t="shared" si="8">MAX(0,42.71-(0.42*A192))</x:f>
        <x:v>0</x:v>
      </x:c>
      <x:c r="H192" s="27" t="str">
        <x:f t="shared" si="9">IF(E192="","",E192-G192)</x:f>
      </x:c>
      <x:c r="I192" t="str">
        <x:f t="shared" si="10">IF(E192="","No Auction Value",IF(OR(H192&gt;=8,J192&gt;=15),"🔥 STEAL",IF(OR(H192&gt;=4,J192&gt;=7),"✅ VALUE",IF(OR(H192&gt;=1.5,J192&gt;=3),"👍 SLIGHT VALUE",IF(AND(H192&gt;-1.5,H192&lt;1.5,J192&gt;-3,J192&lt;3),"FAIR",IF(OR(H192&lt;=-5,J192&lt;=-10),"❌ AVOID","⚠️ REACH"))))))</x:f>
        <x:v>No Auction Value</x:v>
      </x:c>
      <x:c r="J192" s="28" t="n">
        <x:f t="shared" si="11">IF(F192="","",A192-F192)</x:f>
        <x:v>11</x:v>
      </x:c>
    </x:row>
    <x:row r="193">
      <x:c r="A193">
        <x:v>192</x:v>
      </x:c>
      <x:c r="B193" t="s">
        <x:v>429</x:v>
      </x:c>
      <x:c r="C193" t="s">
        <x:v>430</x:v>
      </x:c>
      <x:c r="D193" t="s">
        <x:v>65</x:v>
      </x:c>
      <x:c r="E193" s="20">
        <x:v>0</x:v>
      </x:c>
      <x:c r="F193">
        <x:v>180</x:v>
      </x:c>
      <x:c r="G193" s="27" t="n">
        <x:f t="shared" si="8">MAX(0,42.71-(0.42*A193))</x:f>
        <x:v>0</x:v>
      </x:c>
      <x:c r="H193" s="27" t="str">
        <x:f t="shared" si="9">IF(E193="","",E193-G193)</x:f>
      </x:c>
      <x:c r="I193" t="str">
        <x:f t="shared" si="10">IF(E193="","No Auction Value",IF(OR(H193&gt;=8,J193&gt;=15),"🔥 STEAL",IF(OR(H193&gt;=4,J193&gt;=7),"✅ VALUE",IF(OR(H193&gt;=1.5,J193&gt;=3),"👍 SLIGHT VALUE",IF(AND(H193&gt;-1.5,H193&lt;1.5,J193&gt;-3,J193&lt;3),"FAIR",IF(OR(H193&lt;=-5,J193&lt;=-10),"❌ AVOID","⚠️ REACH"))))))</x:f>
        <x:v>No Auction Value</x:v>
      </x:c>
      <x:c r="J193" s="28" t="n">
        <x:f t="shared" si="11">IF(F193="","",A193-F193)</x:f>
        <x:v>12</x:v>
      </x:c>
    </x:row>
    <x:row r="194">
      <x:c r="A194">
        <x:v>193</x:v>
      </x:c>
      <x:c r="B194" t="s">
        <x:v>431</x:v>
      </x:c>
      <x:c r="C194" t="s">
        <x:v>432</x:v>
      </x:c>
      <x:c r="D194" t="s">
        <x:v>14</x:v>
      </x:c>
      <x:c r="E194" s="20">
        <x:v>0</x:v>
      </x:c>
      <x:c r="F194">
        <x:v>180</x:v>
      </x:c>
      <x:c r="G194" s="27" t="n">
        <x:f t="shared" ref="G194:G257" si="12">MAX(0,42.71-(0.42*A194))</x:f>
        <x:v>0</x:v>
      </x:c>
      <x:c r="H194" s="27" t="str">
        <x:f t="shared" ref="H194:H257" si="13">IF(E194="","",E194-G194)</x:f>
      </x:c>
      <x:c r="I194" t="str">
        <x:f t="shared" ref="I194:I257" si="14">IF(E194="","No Auction Value",IF(OR(H194&gt;=8,J194&gt;=15),"🔥 STEAL",IF(OR(H194&gt;=4,J194&gt;=7),"✅ VALUE",IF(OR(H194&gt;=1.5,J194&gt;=3),"👍 SLIGHT VALUE",IF(AND(H194&gt;-1.5,H194&lt;1.5,J194&gt;-3,J194&lt;3),"FAIR",IF(OR(H194&lt;=-5,J194&lt;=-10),"❌ AVOID","⚠️ REACH"))))))</x:f>
        <x:v>No Auction Value</x:v>
      </x:c>
      <x:c r="J194" s="28" t="n">
        <x:f t="shared" ref="J194:J257" si="15">IF(F194="","",A194-F194)</x:f>
        <x:v>13</x:v>
      </x:c>
    </x:row>
    <x:row r="195">
      <x:c r="A195">
        <x:v>194</x:v>
      </x:c>
      <x:c r="B195" t="s">
        <x:v>433</x:v>
      </x:c>
      <x:c r="C195" t="s">
        <x:v>434</x:v>
      </x:c>
      <x:c r="D195" t="s">
        <x:v>116</x:v>
      </x:c>
      <x:c r="E195" s="20">
        <x:v>0</x:v>
      </x:c>
      <x:c r="F195">
        <x:v>180</x:v>
      </x:c>
      <x:c r="G195" s="27" t="n">
        <x:f t="shared" si="12">MAX(0,42.71-(0.42*A195))</x:f>
        <x:v>0</x:v>
      </x:c>
      <x:c r="H195" s="27" t="str">
        <x:f t="shared" si="13">IF(E195="","",E195-G195)</x:f>
      </x:c>
      <x:c r="I195" t="str">
        <x:f t="shared" si="14">IF(E195="","No Auction Value",IF(OR(H195&gt;=8,J195&gt;=15),"🔥 STEAL",IF(OR(H195&gt;=4,J195&gt;=7),"✅ VALUE",IF(OR(H195&gt;=1.5,J195&gt;=3),"👍 SLIGHT VALUE",IF(AND(H195&gt;-1.5,H195&lt;1.5,J195&gt;-3,J195&lt;3),"FAIR",IF(OR(H195&lt;=-5,J195&lt;=-10),"❌ AVOID","⚠️ REACH"))))))</x:f>
        <x:v>No Auction Value</x:v>
      </x:c>
      <x:c r="J195" s="28" t="n">
        <x:f t="shared" si="15">IF(F195="","",A195-F195)</x:f>
        <x:v>14</x:v>
      </x:c>
    </x:row>
    <x:row r="196">
      <x:c r="A196">
        <x:v>195</x:v>
      </x:c>
      <x:c r="B196" t="s">
        <x:v>435</x:v>
      </x:c>
      <x:c r="C196" t="s">
        <x:v>436</x:v>
      </x:c>
      <x:c r="D196" t="s">
        <x:v>9</x:v>
      </x:c>
      <x:c r="E196" s="20">
        <x:v>2</x:v>
      </x:c>
      <x:c r="F196">
        <x:v>136</x:v>
      </x:c>
      <x:c r="G196" s="27" t="n">
        <x:f t="shared" si="12">MAX(0,42.71-(0.42*A196))</x:f>
        <x:v>0</x:v>
      </x:c>
      <x:c r="H196" s="27" t="n">
        <x:f t="shared" si="13">IF(E196="","",E196-G196)</x:f>
        <x:v>2</x:v>
      </x:c>
      <x:c r="I196" t="str">
        <x:f t="shared" si="14">IF(E196="","No Auction Value",IF(OR(H196&gt;=8,J196&gt;=15),"🔥 STEAL",IF(OR(H196&gt;=4,J196&gt;=7),"✅ VALUE",IF(OR(H196&gt;=1.5,J196&gt;=3),"👍 SLIGHT VALUE",IF(AND(H196&gt;-1.5,H196&lt;1.5,J196&gt;-3,J196&lt;3),"FAIR",IF(OR(H196&lt;=-5,J196&lt;=-10),"❌ AVOID","⚠️ REACH"))))))</x:f>
        <x:v>🔥 STEAL</x:v>
      </x:c>
      <x:c r="J196" s="28" t="n">
        <x:f t="shared" si="15">IF(F196="","",A196-F196)</x:f>
        <x:v>59</x:v>
      </x:c>
    </x:row>
    <x:row r="197">
      <x:c r="A197">
        <x:v>196</x:v>
      </x:c>
      <x:c r="B197" t="s">
        <x:v>437</x:v>
      </x:c>
      <x:c r="C197" t="s">
        <x:v>438</x:v>
      </x:c>
      <x:c r="D197" t="s">
        <x:v>14</x:v>
      </x:c>
      <x:c r="E197" s="20">
        <x:v>0</x:v>
      </x:c>
      <x:c r="F197">
        <x:v>180</x:v>
      </x:c>
      <x:c r="G197" s="27" t="n">
        <x:f t="shared" si="12">MAX(0,42.71-(0.42*A197))</x:f>
        <x:v>0</x:v>
      </x:c>
      <x:c r="H197" s="27" t="str">
        <x:f t="shared" si="13">IF(E197="","",E197-G197)</x:f>
      </x:c>
      <x:c r="I197" t="str">
        <x:f t="shared" si="14">IF(E197="","No Auction Value",IF(OR(H197&gt;=8,J197&gt;=15),"🔥 STEAL",IF(OR(H197&gt;=4,J197&gt;=7),"✅ VALUE",IF(OR(H197&gt;=1.5,J197&gt;=3),"👍 SLIGHT VALUE",IF(AND(H197&gt;-1.5,H197&lt;1.5,J197&gt;-3,J197&lt;3),"FAIR",IF(OR(H197&lt;=-5,J197&lt;=-10),"❌ AVOID","⚠️ REACH"))))))</x:f>
        <x:v>No Auction Value</x:v>
      </x:c>
      <x:c r="J197" s="28" t="n">
        <x:f t="shared" si="15">IF(F197="","",A197-F197)</x:f>
        <x:v>16</x:v>
      </x:c>
    </x:row>
    <x:row r="198">
      <x:c r="A198">
        <x:v>197</x:v>
      </x:c>
      <x:c r="B198" t="s">
        <x:v>439</x:v>
      </x:c>
      <x:c r="C198" t="s">
        <x:v>440</x:v>
      </x:c>
      <x:c r="D198" t="s">
        <x:v>9</x:v>
      </x:c>
      <x:c r="E198" s="20"/>
      <x:c r="G198" s="27" t="n">
        <x:f t="shared" si="12">MAX(0,42.71-(0.42*A198))</x:f>
        <x:v>0</x:v>
      </x:c>
      <x:c r="H198" s="27" t="str">
        <x:f t="shared" si="13">IF(E198="","",E198-G198)</x:f>
      </x:c>
      <x:c r="I198" t="str">
        <x:f t="shared" si="14">IF(E198="","No Auction Value",IF(OR(H198&gt;=8,J198&gt;=15),"🔥 STEAL",IF(OR(H198&gt;=4,J198&gt;=7),"✅ VALUE",IF(OR(H198&gt;=1.5,J198&gt;=3),"👍 SLIGHT VALUE",IF(AND(H198&gt;-1.5,H198&lt;1.5,J198&gt;-3,J198&lt;3),"FAIR",IF(OR(H198&lt;=-5,J198&lt;=-10),"❌ AVOID","⚠️ REACH"))))))</x:f>
        <x:v>No Auction Value</x:v>
      </x:c>
      <x:c r="J198" s="28" t="str">
        <x:f t="shared" si="15">IF(F198="","",A198-F198)</x:f>
      </x:c>
    </x:row>
    <x:row r="199">
      <x:c r="A199">
        <x:v>198</x:v>
      </x:c>
      <x:c r="B199" t="s">
        <x:v>441</x:v>
      </x:c>
      <x:c r="C199" t="s">
        <x:v>442</x:v>
      </x:c>
      <x:c r="D199" t="s">
        <x:v>65</x:v>
      </x:c>
      <x:c r="E199" s="20">
        <x:v>0</x:v>
      </x:c>
      <x:c r="F199">
        <x:v>180</x:v>
      </x:c>
      <x:c r="G199" s="27" t="n">
        <x:f t="shared" si="12">MAX(0,42.71-(0.42*A199))</x:f>
        <x:v>0</x:v>
      </x:c>
      <x:c r="H199" s="27" t="str">
        <x:f t="shared" si="13">IF(E199="","",E199-G199)</x:f>
      </x:c>
      <x:c r="I199" t="str">
        <x:f t="shared" si="14">IF(E199="","No Auction Value",IF(OR(H199&gt;=8,J199&gt;=15),"🔥 STEAL",IF(OR(H199&gt;=4,J199&gt;=7),"✅ VALUE",IF(OR(H199&gt;=1.5,J199&gt;=3),"👍 SLIGHT VALUE",IF(AND(H199&gt;-1.5,H199&lt;1.5,J199&gt;-3,J199&lt;3),"FAIR",IF(OR(H199&lt;=-5,J199&lt;=-10),"❌ AVOID","⚠️ REACH"))))))</x:f>
        <x:v>No Auction Value</x:v>
      </x:c>
      <x:c r="J199" s="28" t="n">
        <x:f t="shared" si="15">IF(F199="","",A199-F199)</x:f>
        <x:v>18</x:v>
      </x:c>
    </x:row>
    <x:row r="200">
      <x:c r="A200">
        <x:v>199</x:v>
      </x:c>
      <x:c r="B200" t="s">
        <x:v>443</x:v>
      </x:c>
      <x:c r="C200" t="s">
        <x:v>444</x:v>
      </x:c>
      <x:c r="D200" t="s">
        <x:v>65</x:v>
      </x:c>
      <x:c r="E200" s="20"/>
      <x:c r="G200" s="27" t="n">
        <x:f t="shared" si="12">MAX(0,42.71-(0.42*A200))</x:f>
        <x:v>0</x:v>
      </x:c>
      <x:c r="H200" s="27" t="str">
        <x:f t="shared" si="13">IF(E200="","",E200-G200)</x:f>
      </x:c>
      <x:c r="I200" t="str">
        <x:f t="shared" si="14">IF(E200="","No Auction Value",IF(OR(H200&gt;=8,J200&gt;=15),"🔥 STEAL",IF(OR(H200&gt;=4,J200&gt;=7),"✅ VALUE",IF(OR(H200&gt;=1.5,J200&gt;=3),"👍 SLIGHT VALUE",IF(AND(H200&gt;-1.5,H200&lt;1.5,J200&gt;-3,J200&lt;3),"FAIR",IF(OR(H200&lt;=-5,J200&lt;=-10),"❌ AVOID","⚠️ REACH"))))))</x:f>
        <x:v>No Auction Value</x:v>
      </x:c>
      <x:c r="J200" s="28" t="str">
        <x:f t="shared" si="15">IF(F200="","",A200-F200)</x:f>
      </x:c>
    </x:row>
    <x:row r="201">
      <x:c r="A201">
        <x:v>200</x:v>
      </x:c>
      <x:c r="B201" t="s">
        <x:v>445</x:v>
      </x:c>
      <x:c r="C201" t="s">
        <x:v>446</x:v>
      </x:c>
      <x:c r="D201" t="s">
        <x:v>14</x:v>
      </x:c>
      <x:c r="E201" s="20">
        <x:v>0</x:v>
      </x:c>
      <x:c r="F201">
        <x:v>180</x:v>
      </x:c>
      <x:c r="G201" s="27" t="n">
        <x:f t="shared" si="12">MAX(0,42.71-(0.42*A201))</x:f>
        <x:v>0</x:v>
      </x:c>
      <x:c r="H201" s="27" t="str">
        <x:f t="shared" si="13">IF(E201="","",E201-G201)</x:f>
      </x:c>
      <x:c r="I201" t="str">
        <x:f t="shared" si="14">IF(E201="","No Auction Value",IF(OR(H201&gt;=8,J201&gt;=15),"🔥 STEAL",IF(OR(H201&gt;=4,J201&gt;=7),"✅ VALUE",IF(OR(H201&gt;=1.5,J201&gt;=3),"👍 SLIGHT VALUE",IF(AND(H201&gt;-1.5,H201&lt;1.5,J201&gt;-3,J201&lt;3),"FAIR",IF(OR(H201&lt;=-5,J201&lt;=-10),"❌ AVOID","⚠️ REACH"))))))</x:f>
        <x:v>No Auction Value</x:v>
      </x:c>
      <x:c r="J201" s="28" t="n">
        <x:f t="shared" si="15">IF(F201="","",A201-F201)</x:f>
        <x:v>20</x:v>
      </x:c>
    </x:row>
    <x:row r="202">
      <x:c r="A202">
        <x:v>201</x:v>
      </x:c>
      <x:c r="B202" t="s">
        <x:v>447</x:v>
      </x:c>
      <x:c r="C202" t="s">
        <x:v>448</x:v>
      </x:c>
      <x:c r="D202" t="s">
        <x:v>14</x:v>
      </x:c>
      <x:c r="E202" s="20">
        <x:v>0</x:v>
      </x:c>
      <x:c r="F202">
        <x:v>180</x:v>
      </x:c>
      <x:c r="G202" s="27" t="n">
        <x:f t="shared" si="12">MAX(0,42.71-(0.42*A202))</x:f>
        <x:v>0</x:v>
      </x:c>
      <x:c r="H202" s="27" t="str">
        <x:f t="shared" si="13">IF(E202="","",E202-G202)</x:f>
      </x:c>
      <x:c r="I202" t="str">
        <x:f t="shared" si="14">IF(E202="","No Auction Value",IF(OR(H202&gt;=8,J202&gt;=15),"🔥 STEAL",IF(OR(H202&gt;=4,J202&gt;=7),"✅ VALUE",IF(OR(H202&gt;=1.5,J202&gt;=3),"👍 SLIGHT VALUE",IF(AND(H202&gt;-1.5,H202&lt;1.5,J202&gt;-3,J202&lt;3),"FAIR",IF(OR(H202&lt;=-5,J202&lt;=-10),"❌ AVOID","⚠️ REACH"))))))</x:f>
        <x:v>No Auction Value</x:v>
      </x:c>
      <x:c r="J202" s="28" t="n">
        <x:f t="shared" si="15">IF(F202="","",A202-F202)</x:f>
        <x:v>21</x:v>
      </x:c>
    </x:row>
    <x:row r="203">
      <x:c r="A203">
        <x:v>202</x:v>
      </x:c>
      <x:c r="B203" t="s">
        <x:v>449</x:v>
      </x:c>
      <x:c r="C203" t="s">
        <x:v>450</x:v>
      </x:c>
      <x:c r="D203" t="s">
        <x:v>14</x:v>
      </x:c>
      <x:c r="E203" s="20">
        <x:v>0</x:v>
      </x:c>
      <x:c r="F203">
        <x:v>180</x:v>
      </x:c>
      <x:c r="G203" s="27" t="n">
        <x:f t="shared" si="12">MAX(0,42.71-(0.42*A203))</x:f>
        <x:v>0</x:v>
      </x:c>
      <x:c r="H203" s="27" t="str">
        <x:f t="shared" si="13">IF(E203="","",E203-G203)</x:f>
      </x:c>
      <x:c r="I203" t="str">
        <x:f t="shared" si="14">IF(E203="","No Auction Value",IF(OR(H203&gt;=8,J203&gt;=15),"🔥 STEAL",IF(OR(H203&gt;=4,J203&gt;=7),"✅ VALUE",IF(OR(H203&gt;=1.5,J203&gt;=3),"👍 SLIGHT VALUE",IF(AND(H203&gt;-1.5,H203&lt;1.5,J203&gt;-3,J203&lt;3),"FAIR",IF(OR(H203&lt;=-5,J203&lt;=-10),"❌ AVOID","⚠️ REACH"))))))</x:f>
        <x:v>No Auction Value</x:v>
      </x:c>
      <x:c r="J203" s="28" t="n">
        <x:f t="shared" si="15">IF(F203="","",A203-F203)</x:f>
        <x:v>22</x:v>
      </x:c>
    </x:row>
    <x:row r="204">
      <x:c r="A204">
        <x:v>203</x:v>
      </x:c>
      <x:c r="B204" t="s">
        <x:v>451</x:v>
      </x:c>
      <x:c r="C204" t="s">
        <x:v>452</x:v>
      </x:c>
      <x:c r="D204" t="s">
        <x:v>65</x:v>
      </x:c>
      <x:c r="E204" s="20">
        <x:v>0</x:v>
      </x:c>
      <x:c r="F204">
        <x:v>180</x:v>
      </x:c>
      <x:c r="G204" s="27" t="n">
        <x:f t="shared" si="12">MAX(0,42.71-(0.42*A204))</x:f>
        <x:v>0</x:v>
      </x:c>
      <x:c r="H204" s="27" t="str">
        <x:f t="shared" si="13">IF(E204="","",E204-G204)</x:f>
      </x:c>
      <x:c r="I204" t="str">
        <x:f t="shared" si="14">IF(E204="","No Auction Value",IF(OR(H204&gt;=8,J204&gt;=15),"🔥 STEAL",IF(OR(H204&gt;=4,J204&gt;=7),"✅ VALUE",IF(OR(H204&gt;=1.5,J204&gt;=3),"👍 SLIGHT VALUE",IF(AND(H204&gt;-1.5,H204&lt;1.5,J204&gt;-3,J204&lt;3),"FAIR",IF(OR(H204&lt;=-5,J204&lt;=-10),"❌ AVOID","⚠️ REACH"))))))</x:f>
        <x:v>No Auction Value</x:v>
      </x:c>
      <x:c r="J204" s="28" t="n">
        <x:f t="shared" si="15">IF(F204="","",A204-F204)</x:f>
        <x:v>23</x:v>
      </x:c>
    </x:row>
    <x:row r="205">
      <x:c r="A205">
        <x:v>204</x:v>
      </x:c>
      <x:c r="B205" t="s">
        <x:v>453</x:v>
      </x:c>
      <x:c r="C205" t="s">
        <x:v>454</x:v>
      </x:c>
      <x:c r="D205" t="s">
        <x:v>14</x:v>
      </x:c>
      <x:c r="E205" s="20">
        <x:v>0</x:v>
      </x:c>
      <x:c r="F205">
        <x:v>180</x:v>
      </x:c>
      <x:c r="G205" s="27" t="n">
        <x:f t="shared" si="12">MAX(0,42.71-(0.42*A205))</x:f>
        <x:v>0</x:v>
      </x:c>
      <x:c r="H205" s="27" t="str">
        <x:f t="shared" si="13">IF(E205="","",E205-G205)</x:f>
      </x:c>
      <x:c r="I205" t="str">
        <x:f t="shared" si="14">IF(E205="","No Auction Value",IF(OR(H205&gt;=8,J205&gt;=15),"🔥 STEAL",IF(OR(H205&gt;=4,J205&gt;=7),"✅ VALUE",IF(OR(H205&gt;=1.5,J205&gt;=3),"👍 SLIGHT VALUE",IF(AND(H205&gt;-1.5,H205&lt;1.5,J205&gt;-3,J205&lt;3),"FAIR",IF(OR(H205&lt;=-5,J205&lt;=-10),"❌ AVOID","⚠️ REACH"))))))</x:f>
        <x:v>No Auction Value</x:v>
      </x:c>
      <x:c r="J205" s="28" t="n">
        <x:f t="shared" si="15">IF(F205="","",A205-F205)</x:f>
        <x:v>24</x:v>
      </x:c>
    </x:row>
    <x:row r="206">
      <x:c r="A206">
        <x:v>205</x:v>
      </x:c>
      <x:c r="B206" t="s">
        <x:v>455</x:v>
      </x:c>
      <x:c r="C206" t="s">
        <x:v>456</x:v>
      </x:c>
      <x:c r="D206" t="s">
        <x:v>65</x:v>
      </x:c>
      <x:c r="E206" s="20">
        <x:v>0</x:v>
      </x:c>
      <x:c r="F206">
        <x:v>180</x:v>
      </x:c>
      <x:c r="G206" s="27" t="n">
        <x:f t="shared" si="12">MAX(0,42.71-(0.42*A206))</x:f>
        <x:v>0</x:v>
      </x:c>
      <x:c r="H206" s="27" t="str">
        <x:f t="shared" si="13">IF(E206="","",E206-G206)</x:f>
      </x:c>
      <x:c r="I206" t="str">
        <x:f t="shared" si="14">IF(E206="","No Auction Value",IF(OR(H206&gt;=8,J206&gt;=15),"🔥 STEAL",IF(OR(H206&gt;=4,J206&gt;=7),"✅ VALUE",IF(OR(H206&gt;=1.5,J206&gt;=3),"👍 SLIGHT VALUE",IF(AND(H206&gt;-1.5,H206&lt;1.5,J206&gt;-3,J206&lt;3),"FAIR",IF(OR(H206&lt;=-5,J206&lt;=-10),"❌ AVOID","⚠️ REACH"))))))</x:f>
        <x:v>No Auction Value</x:v>
      </x:c>
      <x:c r="J206" s="28" t="n">
        <x:f t="shared" si="15">IF(F206="","",A206-F206)</x:f>
        <x:v>25</x:v>
      </x:c>
    </x:row>
    <x:row r="207">
      <x:c r="A207">
        <x:v>206</x:v>
      </x:c>
      <x:c r="B207" t="s">
        <x:v>457</x:v>
      </x:c>
      <x:c r="C207" t="s">
        <x:v>458</x:v>
      </x:c>
      <x:c r="D207" t="s">
        <x:v>65</x:v>
      </x:c>
      <x:c r="E207" s="20">
        <x:v>0</x:v>
      </x:c>
      <x:c r="F207">
        <x:v>180</x:v>
      </x:c>
      <x:c r="G207" s="27" t="n">
        <x:f t="shared" si="12">MAX(0,42.71-(0.42*A207))</x:f>
        <x:v>0</x:v>
      </x:c>
      <x:c r="H207" s="27" t="str">
        <x:f t="shared" si="13">IF(E207="","",E207-G207)</x:f>
      </x:c>
      <x:c r="I207" t="str">
        <x:f t="shared" si="14">IF(E207="","No Auction Value",IF(OR(H207&gt;=8,J207&gt;=15),"🔥 STEAL",IF(OR(H207&gt;=4,J207&gt;=7),"✅ VALUE",IF(OR(H207&gt;=1.5,J207&gt;=3),"👍 SLIGHT VALUE",IF(AND(H207&gt;-1.5,H207&lt;1.5,J207&gt;-3,J207&lt;3),"FAIR",IF(OR(H207&lt;=-5,J207&lt;=-10),"❌ AVOID","⚠️ REACH"))))))</x:f>
        <x:v>No Auction Value</x:v>
      </x:c>
      <x:c r="J207" s="28" t="n">
        <x:f t="shared" si="15">IF(F207="","",A207-F207)</x:f>
        <x:v>26</x:v>
      </x:c>
    </x:row>
    <x:row r="208">
      <x:c r="A208">
        <x:v>207</x:v>
      </x:c>
      <x:c r="B208" t="s">
        <x:v>459</x:v>
      </x:c>
      <x:c r="C208" t="s">
        <x:v>460</x:v>
      </x:c>
      <x:c r="D208" t="s">
        <x:v>65</x:v>
      </x:c>
      <x:c r="E208" s="20">
        <x:v>0</x:v>
      </x:c>
      <x:c r="F208">
        <x:v>180</x:v>
      </x:c>
      <x:c r="G208" s="27" t="n">
        <x:f t="shared" si="12">MAX(0,42.71-(0.42*A208))</x:f>
        <x:v>0</x:v>
      </x:c>
      <x:c r="H208" s="27" t="str">
        <x:f t="shared" si="13">IF(E208="","",E208-G208)</x:f>
      </x:c>
      <x:c r="I208" t="str">
        <x:f t="shared" si="14">IF(E208="","No Auction Value",IF(OR(H208&gt;=8,J208&gt;=15),"🔥 STEAL",IF(OR(H208&gt;=4,J208&gt;=7),"✅ VALUE",IF(OR(H208&gt;=1.5,J208&gt;=3),"👍 SLIGHT VALUE",IF(AND(H208&gt;-1.5,H208&lt;1.5,J208&gt;-3,J208&lt;3),"FAIR",IF(OR(H208&lt;=-5,J208&lt;=-10),"❌ AVOID","⚠️ REACH"))))))</x:f>
        <x:v>No Auction Value</x:v>
      </x:c>
      <x:c r="J208" s="28" t="n">
        <x:f t="shared" si="15">IF(F208="","",A208-F208)</x:f>
        <x:v>27</x:v>
      </x:c>
    </x:row>
    <x:row r="209">
      <x:c r="A209">
        <x:v>208</x:v>
      </x:c>
      <x:c r="B209" t="s">
        <x:v>461</x:v>
      </x:c>
      <x:c r="C209" t="s">
        <x:v>462</x:v>
      </x:c>
      <x:c r="D209" t="s">
        <x:v>9</x:v>
      </x:c>
      <x:c r="E209" s="20"/>
      <x:c r="G209" s="27" t="n">
        <x:f t="shared" si="12">MAX(0,42.71-(0.42*A209))</x:f>
        <x:v>0</x:v>
      </x:c>
      <x:c r="H209" s="27" t="str">
        <x:f t="shared" si="13">IF(E209="","",E209-G209)</x:f>
      </x:c>
      <x:c r="I209" t="str">
        <x:f t="shared" si="14">IF(E209="","No Auction Value",IF(OR(H209&gt;=8,J209&gt;=15),"🔥 STEAL",IF(OR(H209&gt;=4,J209&gt;=7),"✅ VALUE",IF(OR(H209&gt;=1.5,J209&gt;=3),"👍 SLIGHT VALUE",IF(AND(H209&gt;-1.5,H209&lt;1.5,J209&gt;-3,J209&lt;3),"FAIR",IF(OR(H209&lt;=-5,J209&lt;=-10),"❌ AVOID","⚠️ REACH"))))))</x:f>
        <x:v>No Auction Value</x:v>
      </x:c>
      <x:c r="J209" s="28" t="str">
        <x:f t="shared" si="15">IF(F209="","",A209-F209)</x:f>
      </x:c>
    </x:row>
    <x:row r="210">
      <x:c r="A210">
        <x:v>209</x:v>
      </x:c>
      <x:c r="B210" t="s">
        <x:v>463</x:v>
      </x:c>
      <x:c r="C210" t="s">
        <x:v>464</x:v>
      </x:c>
      <x:c r="D210" t="s">
        <x:v>9</x:v>
      </x:c>
      <x:c r="E210" s="20"/>
      <x:c r="G210" s="27" t="n">
        <x:f t="shared" si="12">MAX(0,42.71-(0.42*A210))</x:f>
        <x:v>0</x:v>
      </x:c>
      <x:c r="H210" s="27" t="str">
        <x:f t="shared" si="13">IF(E210="","",E210-G210)</x:f>
      </x:c>
      <x:c r="I210" t="str">
        <x:f t="shared" si="14">IF(E210="","No Auction Value",IF(OR(H210&gt;=8,J210&gt;=15),"🔥 STEAL",IF(OR(H210&gt;=4,J210&gt;=7),"✅ VALUE",IF(OR(H210&gt;=1.5,J210&gt;=3),"👍 SLIGHT VALUE",IF(AND(H210&gt;-1.5,H210&lt;1.5,J210&gt;-3,J210&lt;3),"FAIR",IF(OR(H210&lt;=-5,J210&lt;=-10),"❌ AVOID","⚠️ REACH"))))))</x:f>
        <x:v>No Auction Value</x:v>
      </x:c>
      <x:c r="J210" s="28" t="str">
        <x:f t="shared" si="15">IF(F210="","",A210-F210)</x:f>
      </x:c>
    </x:row>
    <x:row r="211">
      <x:c r="A211">
        <x:v>210</x:v>
      </x:c>
      <x:c r="B211" t="s">
        <x:v>465</x:v>
      </x:c>
      <x:c r="C211" t="s">
        <x:v>466</x:v>
      </x:c>
      <x:c r="D211" t="s">
        <x:v>65</x:v>
      </x:c>
      <x:c r="E211" s="20">
        <x:v>0</x:v>
      </x:c>
      <x:c r="F211">
        <x:v>180</x:v>
      </x:c>
      <x:c r="G211" s="27" t="n">
        <x:f t="shared" si="12">MAX(0,42.71-(0.42*A211))</x:f>
        <x:v>0</x:v>
      </x:c>
      <x:c r="H211" s="27" t="str">
        <x:f t="shared" si="13">IF(E211="","",E211-G211)</x:f>
      </x:c>
      <x:c r="I211" t="str">
        <x:f t="shared" si="14">IF(E211="","No Auction Value",IF(OR(H211&gt;=8,J211&gt;=15),"🔥 STEAL",IF(OR(H211&gt;=4,J211&gt;=7),"✅ VALUE",IF(OR(H211&gt;=1.5,J211&gt;=3),"👍 SLIGHT VALUE",IF(AND(H211&gt;-1.5,H211&lt;1.5,J211&gt;-3,J211&lt;3),"FAIR",IF(OR(H211&lt;=-5,J211&lt;=-10),"❌ AVOID","⚠️ REACH"))))))</x:f>
        <x:v>No Auction Value</x:v>
      </x:c>
      <x:c r="J211" s="28" t="n">
        <x:f t="shared" si="15">IF(F211="","",A211-F211)</x:f>
        <x:v>30</x:v>
      </x:c>
    </x:row>
    <x:row r="212">
      <x:c r="A212">
        <x:v>211</x:v>
      </x:c>
      <x:c r="B212" t="s">
        <x:v>467</x:v>
      </x:c>
      <x:c r="C212" t="s">
        <x:v>468</x:v>
      </x:c>
      <x:c r="D212" t="s">
        <x:v>9</x:v>
      </x:c>
      <x:c r="E212" s="20">
        <x:v>0</x:v>
      </x:c>
      <x:c r="F212">
        <x:v>180</x:v>
      </x:c>
      <x:c r="G212" s="27" t="n">
        <x:f t="shared" si="12">MAX(0,42.71-(0.42*A212))</x:f>
        <x:v>0</x:v>
      </x:c>
      <x:c r="H212" s="27" t="str">
        <x:f t="shared" si="13">IF(E212="","",E212-G212)</x:f>
      </x:c>
      <x:c r="I212" t="str">
        <x:f t="shared" si="14">IF(E212="","No Auction Value",IF(OR(H212&gt;=8,J212&gt;=15),"🔥 STEAL",IF(OR(H212&gt;=4,J212&gt;=7),"✅ VALUE",IF(OR(H212&gt;=1.5,J212&gt;=3),"👍 SLIGHT VALUE",IF(AND(H212&gt;-1.5,H212&lt;1.5,J212&gt;-3,J212&lt;3),"FAIR",IF(OR(H212&lt;=-5,J212&lt;=-10),"❌ AVOID","⚠️ REACH"))))))</x:f>
        <x:v>No Auction Value</x:v>
      </x:c>
      <x:c r="J212" s="28" t="n">
        <x:f t="shared" si="15">IF(F212="","",A212-F212)</x:f>
        <x:v>31</x:v>
      </x:c>
    </x:row>
    <x:row r="213">
      <x:c r="A213">
        <x:v>212</x:v>
      </x:c>
      <x:c r="B213" t="s">
        <x:v>469</x:v>
      </x:c>
      <x:c r="C213" t="s">
        <x:v>470</x:v>
      </x:c>
      <x:c r="D213" t="s">
        <x:v>9</x:v>
      </x:c>
      <x:c r="E213" s="20">
        <x:v>1</x:v>
      </x:c>
      <x:c r="F213">
        <x:v>150</x:v>
      </x:c>
      <x:c r="G213" s="27" t="n">
        <x:f t="shared" si="12">MAX(0,42.71-(0.42*A213))</x:f>
        <x:v>0</x:v>
      </x:c>
      <x:c r="H213" s="27" t="n">
        <x:f t="shared" si="13">IF(E213="","",E213-G213)</x:f>
        <x:v>1</x:v>
      </x:c>
      <x:c r="I213" t="str">
        <x:f t="shared" si="14">IF(E213="","No Auction Value",IF(OR(H213&gt;=8,J213&gt;=15),"🔥 STEAL",IF(OR(H213&gt;=4,J213&gt;=7),"✅ VALUE",IF(OR(H213&gt;=1.5,J213&gt;=3),"👍 SLIGHT VALUE",IF(AND(H213&gt;-1.5,H213&lt;1.5,J213&gt;-3,J213&lt;3),"FAIR",IF(OR(H213&lt;=-5,J213&lt;=-10),"❌ AVOID","⚠️ REACH"))))))</x:f>
        <x:v>🔥 STEAL</x:v>
      </x:c>
      <x:c r="J213" s="28" t="n">
        <x:f t="shared" si="15">IF(F213="","",A213-F213)</x:f>
        <x:v>62</x:v>
      </x:c>
    </x:row>
    <x:row r="214">
      <x:c r="A214">
        <x:v>213</x:v>
      </x:c>
      <x:c r="B214" t="s">
        <x:v>471</x:v>
      </x:c>
      <x:c r="C214" t="s">
        <x:v>472</x:v>
      </x:c>
      <x:c r="D214" t="s">
        <x:v>9</x:v>
      </x:c>
      <x:c r="E214" s="20">
        <x:v>2</x:v>
      </x:c>
      <x:c r="F214">
        <x:v>136</x:v>
      </x:c>
      <x:c r="G214" s="27" t="n">
        <x:f t="shared" si="12">MAX(0,42.71-(0.42*A214))</x:f>
        <x:v>0</x:v>
      </x:c>
      <x:c r="H214" s="27" t="n">
        <x:f t="shared" si="13">IF(E214="","",E214-G214)</x:f>
        <x:v>2</x:v>
      </x:c>
      <x:c r="I214" t="str">
        <x:f t="shared" si="14">IF(E214="","No Auction Value",IF(OR(H214&gt;=8,J214&gt;=15),"🔥 STEAL",IF(OR(H214&gt;=4,J214&gt;=7),"✅ VALUE",IF(OR(H214&gt;=1.5,J214&gt;=3),"👍 SLIGHT VALUE",IF(AND(H214&gt;-1.5,H214&lt;1.5,J214&gt;-3,J214&lt;3),"FAIR",IF(OR(H214&lt;=-5,J214&lt;=-10),"❌ AVOID","⚠️ REACH"))))))</x:f>
        <x:v>🔥 STEAL</x:v>
      </x:c>
      <x:c r="J214" s="28" t="n">
        <x:f t="shared" si="15">IF(F214="","",A214-F214)</x:f>
        <x:v>77</x:v>
      </x:c>
    </x:row>
    <x:row r="215">
      <x:c r="A215">
        <x:v>214</x:v>
      </x:c>
      <x:c r="B215" t="s">
        <x:v>473</x:v>
      </x:c>
      <x:c r="C215" t="s">
        <x:v>474</x:v>
      </x:c>
      <x:c r="D215" t="s">
        <x:v>14</x:v>
      </x:c>
      <x:c r="E215" s="20">
        <x:v>0</x:v>
      </x:c>
      <x:c r="F215">
        <x:v>180</x:v>
      </x:c>
      <x:c r="G215" s="27" t="n">
        <x:f t="shared" si="12">MAX(0,42.71-(0.42*A215))</x:f>
        <x:v>0</x:v>
      </x:c>
      <x:c r="H215" s="27" t="str">
        <x:f t="shared" si="13">IF(E215="","",E215-G215)</x:f>
      </x:c>
      <x:c r="I215" t="str">
        <x:f t="shared" si="14">IF(E215="","No Auction Value",IF(OR(H215&gt;=8,J215&gt;=15),"🔥 STEAL",IF(OR(H215&gt;=4,J215&gt;=7),"✅ VALUE",IF(OR(H215&gt;=1.5,J215&gt;=3),"👍 SLIGHT VALUE",IF(AND(H215&gt;-1.5,H215&lt;1.5,J215&gt;-3,J215&lt;3),"FAIR",IF(OR(H215&lt;=-5,J215&lt;=-10),"❌ AVOID","⚠️ REACH"))))))</x:f>
        <x:v>No Auction Value</x:v>
      </x:c>
      <x:c r="J215" s="28" t="n">
        <x:f t="shared" si="15">IF(F215="","",A215-F215)</x:f>
        <x:v>34</x:v>
      </x:c>
    </x:row>
    <x:row r="216">
      <x:c r="A216">
        <x:v>215</x:v>
      </x:c>
      <x:c r="B216" t="s">
        <x:v>475</x:v>
      </x:c>
      <x:c r="C216" t="s">
        <x:v>476</x:v>
      </x:c>
      <x:c r="D216" t="s">
        <x:v>9</x:v>
      </x:c>
      <x:c r="E216" s="20"/>
      <x:c r="G216" s="27" t="n">
        <x:f t="shared" si="12">MAX(0,42.71-(0.42*A216))</x:f>
        <x:v>0</x:v>
      </x:c>
      <x:c r="H216" s="27" t="str">
        <x:f t="shared" si="13">IF(E216="","",E216-G216)</x:f>
      </x:c>
      <x:c r="I216" t="str">
        <x:f t="shared" si="14">IF(E216="","No Auction Value",IF(OR(H216&gt;=8,J216&gt;=15),"🔥 STEAL",IF(OR(H216&gt;=4,J216&gt;=7),"✅ VALUE",IF(OR(H216&gt;=1.5,J216&gt;=3),"👍 SLIGHT VALUE",IF(AND(H216&gt;-1.5,H216&lt;1.5,J216&gt;-3,J216&lt;3),"FAIR",IF(OR(H216&lt;=-5,J216&lt;=-10),"❌ AVOID","⚠️ REACH"))))))</x:f>
        <x:v>No Auction Value</x:v>
      </x:c>
      <x:c r="J216" s="28" t="str">
        <x:f t="shared" si="15">IF(F216="","",A216-F216)</x:f>
      </x:c>
    </x:row>
    <x:row r="217">
      <x:c r="A217">
        <x:v>216</x:v>
      </x:c>
      <x:c r="B217" t="s">
        <x:v>477</x:v>
      </x:c>
      <x:c r="C217" t="s">
        <x:v>478</x:v>
      </x:c>
      <x:c r="D217" t="s">
        <x:v>9</x:v>
      </x:c>
      <x:c r="E217" s="20">
        <x:v>0</x:v>
      </x:c>
      <x:c r="F217">
        <x:v>180</x:v>
      </x:c>
      <x:c r="G217" s="27" t="n">
        <x:f t="shared" si="12">MAX(0,42.71-(0.42*A217))</x:f>
        <x:v>0</x:v>
      </x:c>
      <x:c r="H217" s="27" t="str">
        <x:f t="shared" si="13">IF(E217="","",E217-G217)</x:f>
      </x:c>
      <x:c r="I217" t="str">
        <x:f t="shared" si="14">IF(E217="","No Auction Value",IF(OR(H217&gt;=8,J217&gt;=15),"🔥 STEAL",IF(OR(H217&gt;=4,J217&gt;=7),"✅ VALUE",IF(OR(H217&gt;=1.5,J217&gt;=3),"👍 SLIGHT VALUE",IF(AND(H217&gt;-1.5,H217&lt;1.5,J217&gt;-3,J217&lt;3),"FAIR",IF(OR(H217&lt;=-5,J217&lt;=-10),"❌ AVOID","⚠️ REACH"))))))</x:f>
        <x:v>No Auction Value</x:v>
      </x:c>
      <x:c r="J217" s="28" t="n">
        <x:f t="shared" si="15">IF(F217="","",A217-F217)</x:f>
        <x:v>36</x:v>
      </x:c>
    </x:row>
    <x:row r="218">
      <x:c r="A218">
        <x:v>217</x:v>
      </x:c>
      <x:c r="B218" t="s">
        <x:v>479</x:v>
      </x:c>
      <x:c r="C218" t="s">
        <x:v>480</x:v>
      </x:c>
      <x:c r="D218" t="s">
        <x:v>9</x:v>
      </x:c>
      <x:c r="E218" s="20">
        <x:v>0</x:v>
      </x:c>
      <x:c r="F218">
        <x:v>180</x:v>
      </x:c>
      <x:c r="G218" s="27" t="n">
        <x:f t="shared" si="12">MAX(0,42.71-(0.42*A218))</x:f>
        <x:v>0</x:v>
      </x:c>
      <x:c r="H218" s="27" t="str">
        <x:f t="shared" si="13">IF(E218="","",E218-G218)</x:f>
      </x:c>
      <x:c r="I218" t="str">
        <x:f t="shared" si="14">IF(E218="","No Auction Value",IF(OR(H218&gt;=8,J218&gt;=15),"🔥 STEAL",IF(OR(H218&gt;=4,J218&gt;=7),"✅ VALUE",IF(OR(H218&gt;=1.5,J218&gt;=3),"👍 SLIGHT VALUE",IF(AND(H218&gt;-1.5,H218&lt;1.5,J218&gt;-3,J218&lt;3),"FAIR",IF(OR(H218&lt;=-5,J218&lt;=-10),"❌ AVOID","⚠️ REACH"))))))</x:f>
        <x:v>No Auction Value</x:v>
      </x:c>
      <x:c r="J218" s="28" t="n">
        <x:f t="shared" si="15">IF(F218="","",A218-F218)</x:f>
        <x:v>37</x:v>
      </x:c>
    </x:row>
    <x:row r="219">
      <x:c r="A219">
        <x:v>218</x:v>
      </x:c>
      <x:c r="B219" t="s">
        <x:v>481</x:v>
      </x:c>
      <x:c r="C219" t="s">
        <x:v>482</x:v>
      </x:c>
      <x:c r="D219" t="s">
        <x:v>116</x:v>
      </x:c>
      <x:c r="E219" s="20"/>
      <x:c r="G219" s="27" t="n">
        <x:f t="shared" si="12">MAX(0,42.71-(0.42*A219))</x:f>
        <x:v>0</x:v>
      </x:c>
      <x:c r="H219" s="27" t="str">
        <x:f t="shared" si="13">IF(E219="","",E219-G219)</x:f>
      </x:c>
      <x:c r="I219" t="str">
        <x:f t="shared" si="14">IF(E219="","No Auction Value",IF(OR(H219&gt;=8,J219&gt;=15),"🔥 STEAL",IF(OR(H219&gt;=4,J219&gt;=7),"✅ VALUE",IF(OR(H219&gt;=1.5,J219&gt;=3),"👍 SLIGHT VALUE",IF(AND(H219&gt;-1.5,H219&lt;1.5,J219&gt;-3,J219&lt;3),"FAIR",IF(OR(H219&lt;=-5,J219&lt;=-10),"❌ AVOID","⚠️ REACH"))))))</x:f>
        <x:v>No Auction Value</x:v>
      </x:c>
      <x:c r="J219" s="28" t="str">
        <x:f t="shared" si="15">IF(F219="","",A219-F219)</x:f>
      </x:c>
    </x:row>
    <x:row r="220">
      <x:c r="A220">
        <x:v>219</x:v>
      </x:c>
      <x:c r="B220" t="s">
        <x:v>483</x:v>
      </x:c>
      <x:c r="C220" t="s">
        <x:v>484</x:v>
      </x:c>
      <x:c r="D220" t="s">
        <x:v>14</x:v>
      </x:c>
      <x:c r="E220" s="20">
        <x:v>0</x:v>
      </x:c>
      <x:c r="F220">
        <x:v>180</x:v>
      </x:c>
      <x:c r="G220" s="27" t="n">
        <x:f t="shared" si="12">MAX(0,42.71-(0.42*A220))</x:f>
        <x:v>0</x:v>
      </x:c>
      <x:c r="H220" s="27" t="str">
        <x:f t="shared" si="13">IF(E220="","",E220-G220)</x:f>
      </x:c>
      <x:c r="I220" t="str">
        <x:f t="shared" si="14">IF(E220="","No Auction Value",IF(OR(H220&gt;=8,J220&gt;=15),"🔥 STEAL",IF(OR(H220&gt;=4,J220&gt;=7),"✅ VALUE",IF(OR(H220&gt;=1.5,J220&gt;=3),"👍 SLIGHT VALUE",IF(AND(H220&gt;-1.5,H220&lt;1.5,J220&gt;-3,J220&lt;3),"FAIR",IF(OR(H220&lt;=-5,J220&lt;=-10),"❌ AVOID","⚠️ REACH"))))))</x:f>
        <x:v>No Auction Value</x:v>
      </x:c>
      <x:c r="J220" s="28" t="n">
        <x:f t="shared" si="15">IF(F220="","",A220-F220)</x:f>
        <x:v>39</x:v>
      </x:c>
    </x:row>
    <x:row r="221">
      <x:c r="A221">
        <x:v>220</x:v>
      </x:c>
      <x:c r="B221" t="s">
        <x:v>485</x:v>
      </x:c>
      <x:c r="C221" t="s">
        <x:v>486</x:v>
      </x:c>
      <x:c r="D221" t="s">
        <x:v>14</x:v>
      </x:c>
      <x:c r="E221" s="20"/>
      <x:c r="G221" s="27" t="n">
        <x:f t="shared" si="12">MAX(0,42.71-(0.42*A221))</x:f>
        <x:v>0</x:v>
      </x:c>
      <x:c r="H221" s="27" t="str">
        <x:f t="shared" si="13">IF(E221="","",E221-G221)</x:f>
      </x:c>
      <x:c r="I221" t="str">
        <x:f t="shared" si="14">IF(E221="","No Auction Value",IF(OR(H221&gt;=8,J221&gt;=15),"🔥 STEAL",IF(OR(H221&gt;=4,J221&gt;=7),"✅ VALUE",IF(OR(H221&gt;=1.5,J221&gt;=3),"👍 SLIGHT VALUE",IF(AND(H221&gt;-1.5,H221&lt;1.5,J221&gt;-3,J221&lt;3),"FAIR",IF(OR(H221&lt;=-5,J221&lt;=-10),"❌ AVOID","⚠️ REACH"))))))</x:f>
        <x:v>No Auction Value</x:v>
      </x:c>
      <x:c r="J221" s="28" t="str">
        <x:f t="shared" si="15">IF(F221="","",A221-F221)</x:f>
      </x:c>
    </x:row>
    <x:row r="222">
      <x:c r="A222">
        <x:v>221</x:v>
      </x:c>
      <x:c r="B222" t="s">
        <x:v>487</x:v>
      </x:c>
      <x:c r="C222" t="s">
        <x:v>488</x:v>
      </x:c>
      <x:c r="D222" t="s">
        <x:v>9</x:v>
      </x:c>
      <x:c r="E222" s="20">
        <x:v>0</x:v>
      </x:c>
      <x:c r="F222">
        <x:v>180</x:v>
      </x:c>
      <x:c r="G222" s="27" t="n">
        <x:f t="shared" si="12">MAX(0,42.71-(0.42*A222))</x:f>
        <x:v>0</x:v>
      </x:c>
      <x:c r="H222" s="27" t="str">
        <x:f t="shared" si="13">IF(E222="","",E222-G222)</x:f>
      </x:c>
      <x:c r="I222" t="str">
        <x:f t="shared" si="14">IF(E222="","No Auction Value",IF(OR(H222&gt;=8,J222&gt;=15),"🔥 STEAL",IF(OR(H222&gt;=4,J222&gt;=7),"✅ VALUE",IF(OR(H222&gt;=1.5,J222&gt;=3),"👍 SLIGHT VALUE",IF(AND(H222&gt;-1.5,H222&lt;1.5,J222&gt;-3,J222&lt;3),"FAIR",IF(OR(H222&lt;=-5,J222&lt;=-10),"❌ AVOID","⚠️ REACH"))))))</x:f>
        <x:v>No Auction Value</x:v>
      </x:c>
      <x:c r="J222" s="28" t="n">
        <x:f t="shared" si="15">IF(F222="","",A222-F222)</x:f>
        <x:v>41</x:v>
      </x:c>
    </x:row>
    <x:row r="223">
      <x:c r="A223">
        <x:v>222</x:v>
      </x:c>
      <x:c r="B223" t="s">
        <x:v>489</x:v>
      </x:c>
      <x:c r="C223" t="s">
        <x:v>490</x:v>
      </x:c>
      <x:c r="D223" t="s">
        <x:v>9</x:v>
      </x:c>
      <x:c r="E223" s="20">
        <x:v>0</x:v>
      </x:c>
      <x:c r="F223">
        <x:v>180</x:v>
      </x:c>
      <x:c r="G223" s="27" t="n">
        <x:f t="shared" si="12">MAX(0,42.71-(0.42*A223))</x:f>
        <x:v>0</x:v>
      </x:c>
      <x:c r="H223" s="27" t="str">
        <x:f t="shared" si="13">IF(E223="","",E223-G223)</x:f>
      </x:c>
      <x:c r="I223" t="str">
        <x:f t="shared" si="14">IF(E223="","No Auction Value",IF(OR(H223&gt;=8,J223&gt;=15),"🔥 STEAL",IF(OR(H223&gt;=4,J223&gt;=7),"✅ VALUE",IF(OR(H223&gt;=1.5,J223&gt;=3),"👍 SLIGHT VALUE",IF(AND(H223&gt;-1.5,H223&lt;1.5,J223&gt;-3,J223&lt;3),"FAIR",IF(OR(H223&lt;=-5,J223&lt;=-10),"❌ AVOID","⚠️ REACH"))))))</x:f>
        <x:v>No Auction Value</x:v>
      </x:c>
      <x:c r="J223" s="28" t="n">
        <x:f t="shared" si="15">IF(F223="","",A223-F223)</x:f>
        <x:v>42</x:v>
      </x:c>
    </x:row>
    <x:row r="224">
      <x:c r="A224">
        <x:v>223</x:v>
      </x:c>
      <x:c r="B224" t="s">
        <x:v>491</x:v>
      </x:c>
      <x:c r="C224" t="s">
        <x:v>492</x:v>
      </x:c>
      <x:c r="D224" t="s">
        <x:v>9</x:v>
      </x:c>
      <x:c r="E224" s="20">
        <x:v>3</x:v>
      </x:c>
      <x:c r="F224">
        <x:v>127</x:v>
      </x:c>
      <x:c r="G224" s="27" t="n">
        <x:f t="shared" si="12">MAX(0,42.71-(0.42*A224))</x:f>
        <x:v>0</x:v>
      </x:c>
      <x:c r="H224" s="27" t="n">
        <x:f t="shared" si="13">IF(E224="","",E224-G224)</x:f>
        <x:v>3</x:v>
      </x:c>
      <x:c r="I224" t="str">
        <x:f t="shared" si="14">IF(E224="","No Auction Value",IF(OR(H224&gt;=8,J224&gt;=15),"🔥 STEAL",IF(OR(H224&gt;=4,J224&gt;=7),"✅ VALUE",IF(OR(H224&gt;=1.5,J224&gt;=3),"👍 SLIGHT VALUE",IF(AND(H224&gt;-1.5,H224&lt;1.5,J224&gt;-3,J224&lt;3),"FAIR",IF(OR(H224&lt;=-5,J224&lt;=-10),"❌ AVOID","⚠️ REACH"))))))</x:f>
        <x:v>🔥 STEAL</x:v>
      </x:c>
      <x:c r="J224" s="28" t="n">
        <x:f t="shared" si="15">IF(F224="","",A224-F224)</x:f>
        <x:v>96</x:v>
      </x:c>
    </x:row>
    <x:row r="225">
      <x:c r="A225">
        <x:v>224</x:v>
      </x:c>
      <x:c r="B225" t="s">
        <x:v>493</x:v>
      </x:c>
      <x:c r="C225" t="s">
        <x:v>494</x:v>
      </x:c>
      <x:c r="D225" t="s">
        <x:v>14</x:v>
      </x:c>
      <x:c r="E225" s="20">
        <x:v>0</x:v>
      </x:c>
      <x:c r="F225">
        <x:v>180</x:v>
      </x:c>
      <x:c r="G225" s="27" t="n">
        <x:f t="shared" si="12">MAX(0,42.71-(0.42*A225))</x:f>
        <x:v>0</x:v>
      </x:c>
      <x:c r="H225" s="27" t="str">
        <x:f t="shared" si="13">IF(E225="","",E225-G225)</x:f>
      </x:c>
      <x:c r="I225" t="str">
        <x:f t="shared" si="14">IF(E225="","No Auction Value",IF(OR(H225&gt;=8,J225&gt;=15),"🔥 STEAL",IF(OR(H225&gt;=4,J225&gt;=7),"✅ VALUE",IF(OR(H225&gt;=1.5,J225&gt;=3),"👍 SLIGHT VALUE",IF(AND(H225&gt;-1.5,H225&lt;1.5,J225&gt;-3,J225&lt;3),"FAIR",IF(OR(H225&lt;=-5,J225&lt;=-10),"❌ AVOID","⚠️ REACH"))))))</x:f>
        <x:v>No Auction Value</x:v>
      </x:c>
      <x:c r="J225" s="28" t="n">
        <x:f t="shared" si="15">IF(F225="","",A225-F225)</x:f>
        <x:v>44</x:v>
      </x:c>
    </x:row>
    <x:row r="226">
      <x:c r="A226">
        <x:v>225</x:v>
      </x:c>
      <x:c r="B226" t="s">
        <x:v>495</x:v>
      </x:c>
      <x:c r="C226" t="s">
        <x:v>496</x:v>
      </x:c>
      <x:c r="D226" t="s">
        <x:v>65</x:v>
      </x:c>
      <x:c r="E226" s="20"/>
      <x:c r="G226" s="27" t="n">
        <x:f t="shared" si="12">MAX(0,42.71-(0.42*A226))</x:f>
        <x:v>0</x:v>
      </x:c>
      <x:c r="H226" s="27" t="str">
        <x:f t="shared" si="13">IF(E226="","",E226-G226)</x:f>
      </x:c>
      <x:c r="I226" t="str">
        <x:f t="shared" si="14">IF(E226="","No Auction Value",IF(OR(H226&gt;=8,J226&gt;=15),"🔥 STEAL",IF(OR(H226&gt;=4,J226&gt;=7),"✅ VALUE",IF(OR(H226&gt;=1.5,J226&gt;=3),"👍 SLIGHT VALUE",IF(AND(H226&gt;-1.5,H226&lt;1.5,J226&gt;-3,J226&lt;3),"FAIR",IF(OR(H226&lt;=-5,J226&lt;=-10),"❌ AVOID","⚠️ REACH"))))))</x:f>
        <x:v>No Auction Value</x:v>
      </x:c>
      <x:c r="J226" s="28" t="str">
        <x:f t="shared" si="15">IF(F226="","",A226-F226)</x:f>
      </x:c>
    </x:row>
    <x:row r="227">
      <x:c r="A227">
        <x:v>226</x:v>
      </x:c>
      <x:c r="B227" t="s">
        <x:v>497</x:v>
      </x:c>
      <x:c r="C227" t="s">
        <x:v>498</x:v>
      </x:c>
      <x:c r="D227" t="s">
        <x:v>9</x:v>
      </x:c>
      <x:c r="E227" s="20">
        <x:v>0</x:v>
      </x:c>
      <x:c r="F227">
        <x:v>180</x:v>
      </x:c>
      <x:c r="G227" s="27" t="n">
        <x:f t="shared" si="12">MAX(0,42.71-(0.42*A227))</x:f>
        <x:v>0</x:v>
      </x:c>
      <x:c r="H227" s="27" t="str">
        <x:f t="shared" si="13">IF(E227="","",E227-G227)</x:f>
      </x:c>
      <x:c r="I227" t="str">
        <x:f t="shared" si="14">IF(E227="","No Auction Value",IF(OR(H227&gt;=8,J227&gt;=15),"🔥 STEAL",IF(OR(H227&gt;=4,J227&gt;=7),"✅ VALUE",IF(OR(H227&gt;=1.5,J227&gt;=3),"👍 SLIGHT VALUE",IF(AND(H227&gt;-1.5,H227&lt;1.5,J227&gt;-3,J227&lt;3),"FAIR",IF(OR(H227&lt;=-5,J227&lt;=-10),"❌ AVOID","⚠️ REACH"))))))</x:f>
        <x:v>No Auction Value</x:v>
      </x:c>
      <x:c r="J227" s="28" t="n">
        <x:f t="shared" si="15">IF(F227="","",A227-F227)</x:f>
        <x:v>46</x:v>
      </x:c>
    </x:row>
    <x:row r="228">
      <x:c r="A228">
        <x:v>227</x:v>
      </x:c>
      <x:c r="B228" t="s">
        <x:v>499</x:v>
      </x:c>
      <x:c r="C228" t="s">
        <x:v>500</x:v>
      </x:c>
      <x:c r="D228" t="s">
        <x:v>14</x:v>
      </x:c>
      <x:c r="E228" s="20">
        <x:v>0</x:v>
      </x:c>
      <x:c r="F228">
        <x:v>180</x:v>
      </x:c>
      <x:c r="G228" s="27" t="n">
        <x:f t="shared" si="12">MAX(0,42.71-(0.42*A228))</x:f>
        <x:v>0</x:v>
      </x:c>
      <x:c r="H228" s="27" t="str">
        <x:f t="shared" si="13">IF(E228="","",E228-G228)</x:f>
      </x:c>
      <x:c r="I228" t="str">
        <x:f t="shared" si="14">IF(E228="","No Auction Value",IF(OR(H228&gt;=8,J228&gt;=15),"🔥 STEAL",IF(OR(H228&gt;=4,J228&gt;=7),"✅ VALUE",IF(OR(H228&gt;=1.5,J228&gt;=3),"👍 SLIGHT VALUE",IF(AND(H228&gt;-1.5,H228&lt;1.5,J228&gt;-3,J228&lt;3),"FAIR",IF(OR(H228&lt;=-5,J228&lt;=-10),"❌ AVOID","⚠️ REACH"))))))</x:f>
        <x:v>No Auction Value</x:v>
      </x:c>
      <x:c r="J228" s="28" t="n">
        <x:f t="shared" si="15">IF(F228="","",A228-F228)</x:f>
        <x:v>47</x:v>
      </x:c>
    </x:row>
    <x:row r="229">
      <x:c r="A229">
        <x:v>228</x:v>
      </x:c>
      <x:c r="B229" t="s">
        <x:v>501</x:v>
      </x:c>
      <x:c r="C229" t="s">
        <x:v>502</x:v>
      </x:c>
      <x:c r="D229" t="s">
        <x:v>14</x:v>
      </x:c>
      <x:c r="E229" s="20"/>
      <x:c r="G229" s="27" t="n">
        <x:f t="shared" si="12">MAX(0,42.71-(0.42*A229))</x:f>
        <x:v>0</x:v>
      </x:c>
      <x:c r="H229" s="27" t="str">
        <x:f t="shared" si="13">IF(E229="","",E229-G229)</x:f>
      </x:c>
      <x:c r="I229" t="str">
        <x:f t="shared" si="14">IF(E229="","No Auction Value",IF(OR(H229&gt;=8,J229&gt;=15),"🔥 STEAL",IF(OR(H229&gt;=4,J229&gt;=7),"✅ VALUE",IF(OR(H229&gt;=1.5,J229&gt;=3),"👍 SLIGHT VALUE",IF(AND(H229&gt;-1.5,H229&lt;1.5,J229&gt;-3,J229&lt;3),"FAIR",IF(OR(H229&lt;=-5,J229&lt;=-10),"❌ AVOID","⚠️ REACH"))))))</x:f>
        <x:v>No Auction Value</x:v>
      </x:c>
      <x:c r="J229" s="28" t="str">
        <x:f t="shared" si="15">IF(F229="","",A229-F229)</x:f>
      </x:c>
    </x:row>
    <x:row r="230">
      <x:c r="A230">
        <x:v>229</x:v>
      </x:c>
      <x:c r="B230" t="s">
        <x:v>503</x:v>
      </x:c>
      <x:c r="C230" t="s">
        <x:v>504</x:v>
      </x:c>
      <x:c r="D230" t="s">
        <x:v>14</x:v>
      </x:c>
      <x:c r="E230" s="20">
        <x:v>0</x:v>
      </x:c>
      <x:c r="F230">
        <x:v>180</x:v>
      </x:c>
      <x:c r="G230" s="27" t="n">
        <x:f t="shared" si="12">MAX(0,42.71-(0.42*A230))</x:f>
        <x:v>0</x:v>
      </x:c>
      <x:c r="H230" s="27" t="str">
        <x:f t="shared" si="13">IF(E230="","",E230-G230)</x:f>
      </x:c>
      <x:c r="I230" t="str">
        <x:f t="shared" si="14">IF(E230="","No Auction Value",IF(OR(H230&gt;=8,J230&gt;=15),"🔥 STEAL",IF(OR(H230&gt;=4,J230&gt;=7),"✅ VALUE",IF(OR(H230&gt;=1.5,J230&gt;=3),"👍 SLIGHT VALUE",IF(AND(H230&gt;-1.5,H230&lt;1.5,J230&gt;-3,J230&lt;3),"FAIR",IF(OR(H230&lt;=-5,J230&lt;=-10),"❌ AVOID","⚠️ REACH"))))))</x:f>
        <x:v>No Auction Value</x:v>
      </x:c>
      <x:c r="J230" s="28" t="n">
        <x:f t="shared" si="15">IF(F230="","",A230-F230)</x:f>
        <x:v>49</x:v>
      </x:c>
    </x:row>
    <x:row r="231">
      <x:c r="A231">
        <x:v>230</x:v>
      </x:c>
      <x:c r="B231" t="s">
        <x:v>505</x:v>
      </x:c>
      <x:c r="C231" t="s">
        <x:v>506</x:v>
      </x:c>
      <x:c r="D231" t="s">
        <x:v>14</x:v>
      </x:c>
      <x:c r="E231" s="20"/>
      <x:c r="G231" s="27" t="n">
        <x:f t="shared" si="12">MAX(0,42.71-(0.42*A231))</x:f>
        <x:v>0</x:v>
      </x:c>
      <x:c r="H231" s="27" t="str">
        <x:f t="shared" si="13">IF(E231="","",E231-G231)</x:f>
      </x:c>
      <x:c r="I231" t="str">
        <x:f t="shared" si="14">IF(E231="","No Auction Value",IF(OR(H231&gt;=8,J231&gt;=15),"🔥 STEAL",IF(OR(H231&gt;=4,J231&gt;=7),"✅ VALUE",IF(OR(H231&gt;=1.5,J231&gt;=3),"👍 SLIGHT VALUE",IF(AND(H231&gt;-1.5,H231&lt;1.5,J231&gt;-3,J231&lt;3),"FAIR",IF(OR(H231&lt;=-5,J231&lt;=-10),"❌ AVOID","⚠️ REACH"))))))</x:f>
        <x:v>No Auction Value</x:v>
      </x:c>
      <x:c r="J231" s="28" t="str">
        <x:f t="shared" si="15">IF(F231="","",A231-F231)</x:f>
      </x:c>
    </x:row>
    <x:row r="232">
      <x:c r="A232">
        <x:v>231</x:v>
      </x:c>
      <x:c r="B232" t="s">
        <x:v>507</x:v>
      </x:c>
      <x:c r="C232" t="s">
        <x:v>508</x:v>
      </x:c>
      <x:c r="D232" t="s">
        <x:v>14</x:v>
      </x:c>
      <x:c r="E232" s="20"/>
      <x:c r="G232" s="27" t="n">
        <x:f t="shared" si="12">MAX(0,42.71-(0.42*A232))</x:f>
        <x:v>0</x:v>
      </x:c>
      <x:c r="H232" s="27" t="str">
        <x:f t="shared" si="13">IF(E232="","",E232-G232)</x:f>
      </x:c>
      <x:c r="I232" t="str">
        <x:f t="shared" si="14">IF(E232="","No Auction Value",IF(OR(H232&gt;=8,J232&gt;=15),"🔥 STEAL",IF(OR(H232&gt;=4,J232&gt;=7),"✅ VALUE",IF(OR(H232&gt;=1.5,J232&gt;=3),"👍 SLIGHT VALUE",IF(AND(H232&gt;-1.5,H232&lt;1.5,J232&gt;-3,J232&lt;3),"FAIR",IF(OR(H232&lt;=-5,J232&lt;=-10),"❌ AVOID","⚠️ REACH"))))))</x:f>
        <x:v>No Auction Value</x:v>
      </x:c>
      <x:c r="J232" s="28" t="str">
        <x:f t="shared" si="15">IF(F232="","",A232-F232)</x:f>
      </x:c>
    </x:row>
    <x:row r="233">
      <x:c r="A233">
        <x:v>232</x:v>
      </x:c>
      <x:c r="B233" t="s">
        <x:v>509</x:v>
      </x:c>
      <x:c r="C233" t="s">
        <x:v>510</x:v>
      </x:c>
      <x:c r="D233" t="s">
        <x:v>9</x:v>
      </x:c>
      <x:c r="E233" s="20">
        <x:v>0</x:v>
      </x:c>
      <x:c r="F233">
        <x:v>180</x:v>
      </x:c>
      <x:c r="G233" s="27" t="n">
        <x:f t="shared" si="12">MAX(0,42.71-(0.42*A233))</x:f>
        <x:v>0</x:v>
      </x:c>
      <x:c r="H233" s="27" t="str">
        <x:f t="shared" si="13">IF(E233="","",E233-G233)</x:f>
      </x:c>
      <x:c r="I233" t="str">
        <x:f t="shared" si="14">IF(E233="","No Auction Value",IF(OR(H233&gt;=8,J233&gt;=15),"🔥 STEAL",IF(OR(H233&gt;=4,J233&gt;=7),"✅ VALUE",IF(OR(H233&gt;=1.5,J233&gt;=3),"👍 SLIGHT VALUE",IF(AND(H233&gt;-1.5,H233&lt;1.5,J233&gt;-3,J233&lt;3),"FAIR",IF(OR(H233&lt;=-5,J233&lt;=-10),"❌ AVOID","⚠️ REACH"))))))</x:f>
        <x:v>No Auction Value</x:v>
      </x:c>
      <x:c r="J233" s="28" t="n">
        <x:f t="shared" si="15">IF(F233="","",A233-F233)</x:f>
        <x:v>52</x:v>
      </x:c>
    </x:row>
    <x:row r="234">
      <x:c r="A234">
        <x:v>233</x:v>
      </x:c>
      <x:c r="B234" t="s">
        <x:v>511</x:v>
      </x:c>
      <x:c r="C234" t="s">
        <x:v>512</x:v>
      </x:c>
      <x:c r="D234" t="s">
        <x:v>65</x:v>
      </x:c>
      <x:c r="E234" s="20">
        <x:v>0</x:v>
      </x:c>
      <x:c r="F234">
        <x:v>180</x:v>
      </x:c>
      <x:c r="G234" s="27" t="n">
        <x:f t="shared" si="12">MAX(0,42.71-(0.42*A234))</x:f>
        <x:v>0</x:v>
      </x:c>
      <x:c r="H234" s="27" t="str">
        <x:f t="shared" si="13">IF(E234="","",E234-G234)</x:f>
      </x:c>
      <x:c r="I234" t="str">
        <x:f t="shared" si="14">IF(E234="","No Auction Value",IF(OR(H234&gt;=8,J234&gt;=15),"🔥 STEAL",IF(OR(H234&gt;=4,J234&gt;=7),"✅ VALUE",IF(OR(H234&gt;=1.5,J234&gt;=3),"👍 SLIGHT VALUE",IF(AND(H234&gt;-1.5,H234&lt;1.5,J234&gt;-3,J234&lt;3),"FAIR",IF(OR(H234&lt;=-5,J234&lt;=-10),"❌ AVOID","⚠️ REACH"))))))</x:f>
        <x:v>No Auction Value</x:v>
      </x:c>
      <x:c r="J234" s="28" t="n">
        <x:f t="shared" si="15">IF(F234="","",A234-F234)</x:f>
        <x:v>53</x:v>
      </x:c>
    </x:row>
    <x:row r="235">
      <x:c r="A235">
        <x:v>234</x:v>
      </x:c>
      <x:c r="B235" t="s">
        <x:v>513</x:v>
      </x:c>
      <x:c r="C235" t="s">
        <x:v>514</x:v>
      </x:c>
      <x:c r="D235" t="s">
        <x:v>65</x:v>
      </x:c>
      <x:c r="E235" s="20">
        <x:v>0</x:v>
      </x:c>
      <x:c r="F235">
        <x:v>180</x:v>
      </x:c>
      <x:c r="G235" s="27" t="n">
        <x:f t="shared" si="12">MAX(0,42.71-(0.42*A235))</x:f>
        <x:v>0</x:v>
      </x:c>
      <x:c r="H235" s="27" t="str">
        <x:f t="shared" si="13">IF(E235="","",E235-G235)</x:f>
      </x:c>
      <x:c r="I235" t="str">
        <x:f t="shared" si="14">IF(E235="","No Auction Value",IF(OR(H235&gt;=8,J235&gt;=15),"🔥 STEAL",IF(OR(H235&gt;=4,J235&gt;=7),"✅ VALUE",IF(OR(H235&gt;=1.5,J235&gt;=3),"👍 SLIGHT VALUE",IF(AND(H235&gt;-1.5,H235&lt;1.5,J235&gt;-3,J235&lt;3),"FAIR",IF(OR(H235&lt;=-5,J235&lt;=-10),"❌ AVOID","⚠️ REACH"))))))</x:f>
        <x:v>No Auction Value</x:v>
      </x:c>
      <x:c r="J235" s="28" t="n">
        <x:f t="shared" si="15">IF(F235="","",A235-F235)</x:f>
        <x:v>54</x:v>
      </x:c>
    </x:row>
    <x:row r="236">
      <x:c r="A236">
        <x:v>235</x:v>
      </x:c>
      <x:c r="B236" t="s">
        <x:v>515</x:v>
      </x:c>
      <x:c r="C236" t="s">
        <x:v>516</x:v>
      </x:c>
      <x:c r="D236" t="s">
        <x:v>9</x:v>
      </x:c>
      <x:c r="E236" s="20">
        <x:v>2</x:v>
      </x:c>
      <x:c r="F236">
        <x:v>136</x:v>
      </x:c>
      <x:c r="G236" s="27" t="n">
        <x:f t="shared" si="12">MAX(0,42.71-(0.42*A236))</x:f>
        <x:v>0</x:v>
      </x:c>
      <x:c r="H236" s="27" t="n">
        <x:f t="shared" si="13">IF(E236="","",E236-G236)</x:f>
        <x:v>2</x:v>
      </x:c>
      <x:c r="I236" t="str">
        <x:f t="shared" si="14">IF(E236="","No Auction Value",IF(OR(H236&gt;=8,J236&gt;=15),"🔥 STEAL",IF(OR(H236&gt;=4,J236&gt;=7),"✅ VALUE",IF(OR(H236&gt;=1.5,J236&gt;=3),"👍 SLIGHT VALUE",IF(AND(H236&gt;-1.5,H236&lt;1.5,J236&gt;-3,J236&lt;3),"FAIR",IF(OR(H236&lt;=-5,J236&lt;=-10),"❌ AVOID","⚠️ REACH"))))))</x:f>
        <x:v>🔥 STEAL</x:v>
      </x:c>
      <x:c r="J236" s="28" t="n">
        <x:f t="shared" si="15">IF(F236="","",A236-F236)</x:f>
        <x:v>99</x:v>
      </x:c>
    </x:row>
    <x:row r="237">
      <x:c r="A237">
        <x:v>236</x:v>
      </x:c>
      <x:c r="B237" t="s">
        <x:v>517</x:v>
      </x:c>
      <x:c r="C237" t="s">
        <x:v>518</x:v>
      </x:c>
      <x:c r="D237" t="s">
        <x:v>116</x:v>
      </x:c>
      <x:c r="E237" s="20"/>
      <x:c r="G237" s="27" t="n">
        <x:f t="shared" si="12">MAX(0,42.71-(0.42*A237))</x:f>
        <x:v>0</x:v>
      </x:c>
      <x:c r="H237" s="27" t="str">
        <x:f t="shared" si="13">IF(E237="","",E237-G237)</x:f>
      </x:c>
      <x:c r="I237" t="str">
        <x:f t="shared" si="14">IF(E237="","No Auction Value",IF(OR(H237&gt;=8,J237&gt;=15),"🔥 STEAL",IF(OR(H237&gt;=4,J237&gt;=7),"✅ VALUE",IF(OR(H237&gt;=1.5,J237&gt;=3),"👍 SLIGHT VALUE",IF(AND(H237&gt;-1.5,H237&lt;1.5,J237&gt;-3,J237&lt;3),"FAIR",IF(OR(H237&lt;=-5,J237&lt;=-10),"❌ AVOID","⚠️ REACH"))))))</x:f>
        <x:v>No Auction Value</x:v>
      </x:c>
      <x:c r="J237" s="28" t="str">
        <x:f t="shared" si="15">IF(F237="","",A237-F237)</x:f>
      </x:c>
    </x:row>
    <x:row r="238">
      <x:c r="A238">
        <x:v>237</x:v>
      </x:c>
      <x:c r="B238" t="s">
        <x:v>519</x:v>
      </x:c>
      <x:c r="C238" t="s">
        <x:v>520</x:v>
      </x:c>
      <x:c r="D238" t="s">
        <x:v>14</x:v>
      </x:c>
      <x:c r="E238" s="20">
        <x:v>0</x:v>
      </x:c>
      <x:c r="F238">
        <x:v>180</x:v>
      </x:c>
      <x:c r="G238" s="27" t="n">
        <x:f t="shared" si="12">MAX(0,42.71-(0.42*A238))</x:f>
        <x:v>0</x:v>
      </x:c>
      <x:c r="H238" s="27" t="str">
        <x:f t="shared" si="13">IF(E238="","",E238-G238)</x:f>
      </x:c>
      <x:c r="I238" t="str">
        <x:f t="shared" si="14">IF(E238="","No Auction Value",IF(OR(H238&gt;=8,J238&gt;=15),"🔥 STEAL",IF(OR(H238&gt;=4,J238&gt;=7),"✅ VALUE",IF(OR(H238&gt;=1.5,J238&gt;=3),"👍 SLIGHT VALUE",IF(AND(H238&gt;-1.5,H238&lt;1.5,J238&gt;-3,J238&lt;3),"FAIR",IF(OR(H238&lt;=-5,J238&lt;=-10),"❌ AVOID","⚠️ REACH"))))))</x:f>
        <x:v>No Auction Value</x:v>
      </x:c>
      <x:c r="J238" s="28" t="n">
        <x:f t="shared" si="15">IF(F238="","",A238-F238)</x:f>
        <x:v>57</x:v>
      </x:c>
    </x:row>
    <x:row r="239">
      <x:c r="A239">
        <x:v>238</x:v>
      </x:c>
      <x:c r="B239" t="s">
        <x:v>521</x:v>
      </x:c>
      <x:c r="C239" t="s">
        <x:v>522</x:v>
      </x:c>
      <x:c r="D239" t="s">
        <x:v>14</x:v>
      </x:c>
      <x:c r="E239" s="20">
        <x:v>0</x:v>
      </x:c>
      <x:c r="F239">
        <x:v>180</x:v>
      </x:c>
      <x:c r="G239" s="27" t="n">
        <x:f t="shared" si="12">MAX(0,42.71-(0.42*A239))</x:f>
        <x:v>0</x:v>
      </x:c>
      <x:c r="H239" s="27" t="str">
        <x:f t="shared" si="13">IF(E239="","",E239-G239)</x:f>
      </x:c>
      <x:c r="I239" t="str">
        <x:f t="shared" si="14">IF(E239="","No Auction Value",IF(OR(H239&gt;=8,J239&gt;=15),"🔥 STEAL",IF(OR(H239&gt;=4,J239&gt;=7),"✅ VALUE",IF(OR(H239&gt;=1.5,J239&gt;=3),"👍 SLIGHT VALUE",IF(AND(H239&gt;-1.5,H239&lt;1.5,J239&gt;-3,J239&lt;3),"FAIR",IF(OR(H239&lt;=-5,J239&lt;=-10),"❌ AVOID","⚠️ REACH"))))))</x:f>
        <x:v>No Auction Value</x:v>
      </x:c>
      <x:c r="J239" s="28" t="n">
        <x:f t="shared" si="15">IF(F239="","",A239-F239)</x:f>
        <x:v>58</x:v>
      </x:c>
    </x:row>
    <x:row r="240">
      <x:c r="A240">
        <x:v>239</x:v>
      </x:c>
      <x:c r="B240" t="s">
        <x:v>523</x:v>
      </x:c>
      <x:c r="C240" t="s">
        <x:v>524</x:v>
      </x:c>
      <x:c r="D240" t="s">
        <x:v>14</x:v>
      </x:c>
      <x:c r="E240" s="20"/>
      <x:c r="G240" s="27" t="n">
        <x:f t="shared" si="12">MAX(0,42.71-(0.42*A240))</x:f>
        <x:v>0</x:v>
      </x:c>
      <x:c r="H240" s="27" t="str">
        <x:f t="shared" si="13">IF(E240="","",E240-G240)</x:f>
      </x:c>
      <x:c r="I240" t="str">
        <x:f t="shared" si="14">IF(E240="","No Auction Value",IF(OR(H240&gt;=8,J240&gt;=15),"🔥 STEAL",IF(OR(H240&gt;=4,J240&gt;=7),"✅ VALUE",IF(OR(H240&gt;=1.5,J240&gt;=3),"👍 SLIGHT VALUE",IF(AND(H240&gt;-1.5,H240&lt;1.5,J240&gt;-3,J240&lt;3),"FAIR",IF(OR(H240&lt;=-5,J240&lt;=-10),"❌ AVOID","⚠️ REACH"))))))</x:f>
        <x:v>No Auction Value</x:v>
      </x:c>
      <x:c r="J240" s="28" t="str">
        <x:f t="shared" si="15">IF(F240="","",A240-F240)</x:f>
      </x:c>
    </x:row>
    <x:row r="241">
      <x:c r="A241">
        <x:v>240</x:v>
      </x:c>
      <x:c r="B241" t="s">
        <x:v>525</x:v>
      </x:c>
      <x:c r="C241" t="s">
        <x:v>526</x:v>
      </x:c>
      <x:c r="D241" t="s">
        <x:v>14</x:v>
      </x:c>
      <x:c r="E241" s="20">
        <x:v>0</x:v>
      </x:c>
      <x:c r="F241">
        <x:v>180</x:v>
      </x:c>
      <x:c r="G241" s="27" t="n">
        <x:f t="shared" si="12">MAX(0,42.71-(0.42*A241))</x:f>
        <x:v>0</x:v>
      </x:c>
      <x:c r="H241" s="27" t="str">
        <x:f t="shared" si="13">IF(E241="","",E241-G241)</x:f>
      </x:c>
      <x:c r="I241" t="str">
        <x:f t="shared" si="14">IF(E241="","No Auction Value",IF(OR(H241&gt;=8,J241&gt;=15),"🔥 STEAL",IF(OR(H241&gt;=4,J241&gt;=7),"✅ VALUE",IF(OR(H241&gt;=1.5,J241&gt;=3),"👍 SLIGHT VALUE",IF(AND(H241&gt;-1.5,H241&lt;1.5,J241&gt;-3,J241&lt;3),"FAIR",IF(OR(H241&lt;=-5,J241&lt;=-10),"❌ AVOID","⚠️ REACH"))))))</x:f>
        <x:v>No Auction Value</x:v>
      </x:c>
      <x:c r="J241" s="28" t="n">
        <x:f t="shared" si="15">IF(F241="","",A241-F241)</x:f>
        <x:v>60</x:v>
      </x:c>
    </x:row>
    <x:row r="242">
      <x:c r="A242">
        <x:v>241</x:v>
      </x:c>
      <x:c r="B242" t="s">
        <x:v>527</x:v>
      </x:c>
      <x:c r="C242" t="s">
        <x:v>528</x:v>
      </x:c>
      <x:c r="D242" t="s">
        <x:v>65</x:v>
      </x:c>
      <x:c r="E242" s="20">
        <x:v>0</x:v>
      </x:c>
      <x:c r="F242">
        <x:v>180</x:v>
      </x:c>
      <x:c r="G242" s="27" t="n">
        <x:f t="shared" si="12">MAX(0,42.71-(0.42*A242))</x:f>
        <x:v>0</x:v>
      </x:c>
      <x:c r="H242" s="27" t="str">
        <x:f t="shared" si="13">IF(E242="","",E242-G242)</x:f>
      </x:c>
      <x:c r="I242" t="str">
        <x:f t="shared" si="14">IF(E242="","No Auction Value",IF(OR(H242&gt;=8,J242&gt;=15),"🔥 STEAL",IF(OR(H242&gt;=4,J242&gt;=7),"✅ VALUE",IF(OR(H242&gt;=1.5,J242&gt;=3),"👍 SLIGHT VALUE",IF(AND(H242&gt;-1.5,H242&lt;1.5,J242&gt;-3,J242&lt;3),"FAIR",IF(OR(H242&lt;=-5,J242&lt;=-10),"❌ AVOID","⚠️ REACH"))))))</x:f>
        <x:v>No Auction Value</x:v>
      </x:c>
      <x:c r="J242" s="28" t="n">
        <x:f t="shared" si="15">IF(F242="","",A242-F242)</x:f>
        <x:v>61</x:v>
      </x:c>
    </x:row>
    <x:row r="243">
      <x:c r="A243">
        <x:v>242</x:v>
      </x:c>
      <x:c r="B243" t="s">
        <x:v>529</x:v>
      </x:c>
      <x:c r="C243" t="s">
        <x:v>530</x:v>
      </x:c>
      <x:c r="D243" t="s">
        <x:v>65</x:v>
      </x:c>
      <x:c r="E243" s="20">
        <x:v>0</x:v>
      </x:c>
      <x:c r="F243">
        <x:v>180</x:v>
      </x:c>
      <x:c r="G243" s="27" t="n">
        <x:f t="shared" si="12">MAX(0,42.71-(0.42*A243))</x:f>
        <x:v>0</x:v>
      </x:c>
      <x:c r="H243" s="27" t="str">
        <x:f t="shared" si="13">IF(E243="","",E243-G243)</x:f>
      </x:c>
      <x:c r="I243" t="str">
        <x:f t="shared" si="14">IF(E243="","No Auction Value",IF(OR(H243&gt;=8,J243&gt;=15),"🔥 STEAL",IF(OR(H243&gt;=4,J243&gt;=7),"✅ VALUE",IF(OR(H243&gt;=1.5,J243&gt;=3),"👍 SLIGHT VALUE",IF(AND(H243&gt;-1.5,H243&lt;1.5,J243&gt;-3,J243&lt;3),"FAIR",IF(OR(H243&lt;=-5,J243&lt;=-10),"❌ AVOID","⚠️ REACH"))))))</x:f>
        <x:v>No Auction Value</x:v>
      </x:c>
      <x:c r="J243" s="28" t="n">
        <x:f t="shared" si="15">IF(F243="","",A243-F243)</x:f>
        <x:v>62</x:v>
      </x:c>
    </x:row>
    <x:row r="244">
      <x:c r="A244">
        <x:v>243</x:v>
      </x:c>
      <x:c r="B244" t="s">
        <x:v>531</x:v>
      </x:c>
      <x:c r="C244" t="s">
        <x:v>532</x:v>
      </x:c>
      <x:c r="D244" t="s">
        <x:v>65</x:v>
      </x:c>
      <x:c r="E244" s="20">
        <x:v>0</x:v>
      </x:c>
      <x:c r="F244">
        <x:v>180</x:v>
      </x:c>
      <x:c r="G244" s="27" t="n">
        <x:f t="shared" si="12">MAX(0,42.71-(0.42*A244))</x:f>
        <x:v>0</x:v>
      </x:c>
      <x:c r="H244" s="27" t="str">
        <x:f t="shared" si="13">IF(E244="","",E244-G244)</x:f>
      </x:c>
      <x:c r="I244" t="str">
        <x:f t="shared" si="14">IF(E244="","No Auction Value",IF(OR(H244&gt;=8,J244&gt;=15),"🔥 STEAL",IF(OR(H244&gt;=4,J244&gt;=7),"✅ VALUE",IF(OR(H244&gt;=1.5,J244&gt;=3),"👍 SLIGHT VALUE",IF(AND(H244&gt;-1.5,H244&lt;1.5,J244&gt;-3,J244&lt;3),"FAIR",IF(OR(H244&lt;=-5,J244&lt;=-10),"❌ AVOID","⚠️ REACH"))))))</x:f>
        <x:v>No Auction Value</x:v>
      </x:c>
      <x:c r="J244" s="28" t="n">
        <x:f t="shared" si="15">IF(F244="","",A244-F244)</x:f>
        <x:v>63</x:v>
      </x:c>
    </x:row>
    <x:row r="245">
      <x:c r="A245">
        <x:v>244</x:v>
      </x:c>
      <x:c r="B245" t="s">
        <x:v>533</x:v>
      </x:c>
      <x:c r="C245" t="s">
        <x:v>534</x:v>
      </x:c>
      <x:c r="D245" t="s">
        <x:v>14</x:v>
      </x:c>
      <x:c r="E245" s="20">
        <x:v>0</x:v>
      </x:c>
      <x:c r="F245">
        <x:v>180</x:v>
      </x:c>
      <x:c r="G245" s="27" t="n">
        <x:f t="shared" si="12">MAX(0,42.71-(0.42*A245))</x:f>
        <x:v>0</x:v>
      </x:c>
      <x:c r="H245" s="27" t="str">
        <x:f t="shared" si="13">IF(E245="","",E245-G245)</x:f>
      </x:c>
      <x:c r="I245" t="str">
        <x:f t="shared" si="14">IF(E245="","No Auction Value",IF(OR(H245&gt;=8,J245&gt;=15),"🔥 STEAL",IF(OR(H245&gt;=4,J245&gt;=7),"✅ VALUE",IF(OR(H245&gt;=1.5,J245&gt;=3),"👍 SLIGHT VALUE",IF(AND(H245&gt;-1.5,H245&lt;1.5,J245&gt;-3,J245&lt;3),"FAIR",IF(OR(H245&lt;=-5,J245&lt;=-10),"❌ AVOID","⚠️ REACH"))))))</x:f>
        <x:v>No Auction Value</x:v>
      </x:c>
      <x:c r="J245" s="28" t="n">
        <x:f t="shared" si="15">IF(F245="","",A245-F245)</x:f>
        <x:v>64</x:v>
      </x:c>
    </x:row>
    <x:row r="246">
      <x:c r="A246">
        <x:v>245</x:v>
      </x:c>
      <x:c r="B246" t="s">
        <x:v>535</x:v>
      </x:c>
      <x:c r="C246" t="s">
        <x:v>536</x:v>
      </x:c>
      <x:c r="D246" t="s">
        <x:v>9</x:v>
      </x:c>
      <x:c r="E246" s="20">
        <x:v>0</x:v>
      </x:c>
      <x:c r="F246">
        <x:v>180</x:v>
      </x:c>
      <x:c r="G246" s="27" t="n">
        <x:f t="shared" si="12">MAX(0,42.71-(0.42*A246))</x:f>
        <x:v>0</x:v>
      </x:c>
      <x:c r="H246" s="27" t="str">
        <x:f t="shared" si="13">IF(E246="","",E246-G246)</x:f>
      </x:c>
      <x:c r="I246" t="str">
        <x:f t="shared" si="14">IF(E246="","No Auction Value",IF(OR(H246&gt;=8,J246&gt;=15),"🔥 STEAL",IF(OR(H246&gt;=4,J246&gt;=7),"✅ VALUE",IF(OR(H246&gt;=1.5,J246&gt;=3),"👍 SLIGHT VALUE",IF(AND(H246&gt;-1.5,H246&lt;1.5,J246&gt;-3,J246&lt;3),"FAIR",IF(OR(H246&lt;=-5,J246&lt;=-10),"❌ AVOID","⚠️ REACH"))))))</x:f>
        <x:v>No Auction Value</x:v>
      </x:c>
      <x:c r="J246" s="28" t="n">
        <x:f t="shared" si="15">IF(F246="","",A246-F246)</x:f>
        <x:v>65</x:v>
      </x:c>
    </x:row>
    <x:row r="247">
      <x:c r="A247">
        <x:v>246</x:v>
      </x:c>
      <x:c r="B247" t="s">
        <x:v>537</x:v>
      </x:c>
      <x:c r="C247" t="s">
        <x:v>538</x:v>
      </x:c>
      <x:c r="D247" t="s">
        <x:v>14</x:v>
      </x:c>
      <x:c r="E247" s="20"/>
      <x:c r="G247" s="27" t="n">
        <x:f t="shared" si="12">MAX(0,42.71-(0.42*A247))</x:f>
        <x:v>0</x:v>
      </x:c>
      <x:c r="H247" s="27" t="str">
        <x:f t="shared" si="13">IF(E247="","",E247-G247)</x:f>
      </x:c>
      <x:c r="I247" t="str">
        <x:f t="shared" si="14">IF(E247="","No Auction Value",IF(OR(H247&gt;=8,J247&gt;=15),"🔥 STEAL",IF(OR(H247&gt;=4,J247&gt;=7),"✅ VALUE",IF(OR(H247&gt;=1.5,J247&gt;=3),"👍 SLIGHT VALUE",IF(AND(H247&gt;-1.5,H247&lt;1.5,J247&gt;-3,J247&lt;3),"FAIR",IF(OR(H247&lt;=-5,J247&lt;=-10),"❌ AVOID","⚠️ REACH"))))))</x:f>
        <x:v>No Auction Value</x:v>
      </x:c>
      <x:c r="J247" s="28" t="str">
        <x:f t="shared" si="15">IF(F247="","",A247-F247)</x:f>
      </x:c>
    </x:row>
    <x:row r="248">
      <x:c r="A248">
        <x:v>247</x:v>
      </x:c>
      <x:c r="B248" t="s">
        <x:v>539</x:v>
      </x:c>
      <x:c r="C248" t="s">
        <x:v>540</x:v>
      </x:c>
      <x:c r="D248" t="s">
        <x:v>9</x:v>
      </x:c>
      <x:c r="E248" s="20">
        <x:v>0</x:v>
      </x:c>
      <x:c r="F248">
        <x:v>180</x:v>
      </x:c>
      <x:c r="G248" s="27" t="n">
        <x:f t="shared" si="12">MAX(0,42.71-(0.42*A248))</x:f>
        <x:v>0</x:v>
      </x:c>
      <x:c r="H248" s="27" t="str">
        <x:f t="shared" si="13">IF(E248="","",E248-G248)</x:f>
      </x:c>
      <x:c r="I248" t="str">
        <x:f t="shared" si="14">IF(E248="","No Auction Value",IF(OR(H248&gt;=8,J248&gt;=15),"🔥 STEAL",IF(OR(H248&gt;=4,J248&gt;=7),"✅ VALUE",IF(OR(H248&gt;=1.5,J248&gt;=3),"👍 SLIGHT VALUE",IF(AND(H248&gt;-1.5,H248&lt;1.5,J248&gt;-3,J248&lt;3),"FAIR",IF(OR(H248&lt;=-5,J248&lt;=-10),"❌ AVOID","⚠️ REACH"))))))</x:f>
        <x:v>No Auction Value</x:v>
      </x:c>
      <x:c r="J248" s="28" t="n">
        <x:f t="shared" si="15">IF(F248="","",A248-F248)</x:f>
        <x:v>67</x:v>
      </x:c>
    </x:row>
    <x:row r="249">
      <x:c r="A249">
        <x:v>248</x:v>
      </x:c>
      <x:c r="B249" t="s">
        <x:v>541</x:v>
      </x:c>
      <x:c r="C249" t="s">
        <x:v>542</x:v>
      </x:c>
      <x:c r="D249" t="s">
        <x:v>14</x:v>
      </x:c>
      <x:c r="E249" s="20">
        <x:v>0</x:v>
      </x:c>
      <x:c r="F249">
        <x:v>180</x:v>
      </x:c>
      <x:c r="G249" s="27" t="n">
        <x:f t="shared" si="12">MAX(0,42.71-(0.42*A249))</x:f>
        <x:v>0</x:v>
      </x:c>
      <x:c r="H249" s="27" t="str">
        <x:f t="shared" si="13">IF(E249="","",E249-G249)</x:f>
      </x:c>
      <x:c r="I249" t="str">
        <x:f t="shared" si="14">IF(E249="","No Auction Value",IF(OR(H249&gt;=8,J249&gt;=15),"🔥 STEAL",IF(OR(H249&gt;=4,J249&gt;=7),"✅ VALUE",IF(OR(H249&gt;=1.5,J249&gt;=3),"👍 SLIGHT VALUE",IF(AND(H249&gt;-1.5,H249&lt;1.5,J249&gt;-3,J249&lt;3),"FAIR",IF(OR(H249&lt;=-5,J249&lt;=-10),"❌ AVOID","⚠️ REACH"))))))</x:f>
        <x:v>No Auction Value</x:v>
      </x:c>
      <x:c r="J249" s="28" t="n">
        <x:f t="shared" si="15">IF(F249="","",A249-F249)</x:f>
        <x:v>68</x:v>
      </x:c>
    </x:row>
    <x:row r="250">
      <x:c r="A250">
        <x:v>249</x:v>
      </x:c>
      <x:c r="B250" t="s">
        <x:v>543</x:v>
      </x:c>
      <x:c r="C250" t="s">
        <x:v>544</x:v>
      </x:c>
      <x:c r="D250" t="s">
        <x:v>9</x:v>
      </x:c>
      <x:c r="E250" s="20">
        <x:v>0</x:v>
      </x:c>
      <x:c r="F250">
        <x:v>180</x:v>
      </x:c>
      <x:c r="G250" s="27" t="n">
        <x:f t="shared" si="12">MAX(0,42.71-(0.42*A250))</x:f>
        <x:v>0</x:v>
      </x:c>
      <x:c r="H250" s="27" t="str">
        <x:f t="shared" si="13">IF(E250="","",E250-G250)</x:f>
      </x:c>
      <x:c r="I250" t="str">
        <x:f t="shared" si="14">IF(E250="","No Auction Value",IF(OR(H250&gt;=8,J250&gt;=15),"🔥 STEAL",IF(OR(H250&gt;=4,J250&gt;=7),"✅ VALUE",IF(OR(H250&gt;=1.5,J250&gt;=3),"👍 SLIGHT VALUE",IF(AND(H250&gt;-1.5,H250&lt;1.5,J250&gt;-3,J250&lt;3),"FAIR",IF(OR(H250&lt;=-5,J250&lt;=-10),"❌ AVOID","⚠️ REACH"))))))</x:f>
        <x:v>No Auction Value</x:v>
      </x:c>
      <x:c r="J250" s="28" t="n">
        <x:f t="shared" si="15">IF(F250="","",A250-F250)</x:f>
        <x:v>69</x:v>
      </x:c>
    </x:row>
    <x:row r="251">
      <x:c r="A251">
        <x:v>250</x:v>
      </x:c>
      <x:c r="B251" t="s">
        <x:v>545</x:v>
      </x:c>
      <x:c r="C251" t="s">
        <x:v>546</x:v>
      </x:c>
      <x:c r="D251" t="s">
        <x:v>14</x:v>
      </x:c>
      <x:c r="E251" s="20"/>
      <x:c r="G251" s="27" t="n">
        <x:f t="shared" si="12">MAX(0,42.71-(0.42*A251))</x:f>
        <x:v>0</x:v>
      </x:c>
      <x:c r="H251" s="27" t="str">
        <x:f t="shared" si="13">IF(E251="","",E251-G251)</x:f>
      </x:c>
      <x:c r="I251" t="str">
        <x:f t="shared" si="14">IF(E251="","No Auction Value",IF(OR(H251&gt;=8,J251&gt;=15),"🔥 STEAL",IF(OR(H251&gt;=4,J251&gt;=7),"✅ VALUE",IF(OR(H251&gt;=1.5,J251&gt;=3),"👍 SLIGHT VALUE",IF(AND(H251&gt;-1.5,H251&lt;1.5,J251&gt;-3,J251&lt;3),"FAIR",IF(OR(H251&lt;=-5,J251&lt;=-10),"❌ AVOID","⚠️ REACH"))))))</x:f>
        <x:v>No Auction Value</x:v>
      </x:c>
      <x:c r="J251" s="28" t="str">
        <x:f t="shared" si="15">IF(F251="","",A251-F251)</x:f>
      </x:c>
    </x:row>
    <x:row r="252">
      <x:c r="A252">
        <x:v>251</x:v>
      </x:c>
      <x:c r="B252" t="s">
        <x:v>547</x:v>
      </x:c>
      <x:c r="C252" t="s">
        <x:v>548</x:v>
      </x:c>
      <x:c r="D252" t="s">
        <x:v>14</x:v>
      </x:c>
      <x:c r="E252" s="20"/>
      <x:c r="G252" s="27" t="n">
        <x:f t="shared" si="12">MAX(0,42.71-(0.42*A252))</x:f>
        <x:v>0</x:v>
      </x:c>
      <x:c r="H252" s="27" t="str">
        <x:f t="shared" si="13">IF(E252="","",E252-G252)</x:f>
      </x:c>
      <x:c r="I252" t="str">
        <x:f t="shared" si="14">IF(E252="","No Auction Value",IF(OR(H252&gt;=8,J252&gt;=15),"🔥 STEAL",IF(OR(H252&gt;=4,J252&gt;=7),"✅ VALUE",IF(OR(H252&gt;=1.5,J252&gt;=3),"👍 SLIGHT VALUE",IF(AND(H252&gt;-1.5,H252&lt;1.5,J252&gt;-3,J252&lt;3),"FAIR",IF(OR(H252&lt;=-5,J252&lt;=-10),"❌ AVOID","⚠️ REACH"))))))</x:f>
        <x:v>No Auction Value</x:v>
      </x:c>
      <x:c r="J252" s="28" t="str">
        <x:f t="shared" si="15">IF(F252="","",A252-F252)</x:f>
      </x:c>
    </x:row>
    <x:row r="253">
      <x:c r="A253">
        <x:v>252</x:v>
      </x:c>
      <x:c r="B253" t="s">
        <x:v>549</x:v>
      </x:c>
      <x:c r="C253" t="s">
        <x:v>550</x:v>
      </x:c>
      <x:c r="D253" t="s">
        <x:v>14</x:v>
      </x:c>
      <x:c r="E253" s="20">
        <x:v>0</x:v>
      </x:c>
      <x:c r="F253">
        <x:v>180</x:v>
      </x:c>
      <x:c r="G253" s="27" t="n">
        <x:f t="shared" si="12">MAX(0,42.71-(0.42*A253))</x:f>
        <x:v>0</x:v>
      </x:c>
      <x:c r="H253" s="27" t="str">
        <x:f t="shared" si="13">IF(E253="","",E253-G253)</x:f>
      </x:c>
      <x:c r="I253" t="str">
        <x:f t="shared" si="14">IF(E253="","No Auction Value",IF(OR(H253&gt;=8,J253&gt;=15),"🔥 STEAL",IF(OR(H253&gt;=4,J253&gt;=7),"✅ VALUE",IF(OR(H253&gt;=1.5,J253&gt;=3),"👍 SLIGHT VALUE",IF(AND(H253&gt;-1.5,H253&lt;1.5,J253&gt;-3,J253&lt;3),"FAIR",IF(OR(H253&lt;=-5,J253&lt;=-10),"❌ AVOID","⚠️ REACH"))))))</x:f>
        <x:v>No Auction Value</x:v>
      </x:c>
      <x:c r="J253" s="28" t="n">
        <x:f t="shared" si="15">IF(F253="","",A253-F253)</x:f>
        <x:v>72</x:v>
      </x:c>
    </x:row>
    <x:row r="254">
      <x:c r="A254">
        <x:v>253</x:v>
      </x:c>
      <x:c r="B254" t="s">
        <x:v>551</x:v>
      </x:c>
      <x:c r="C254" t="s">
        <x:v>552</x:v>
      </x:c>
      <x:c r="D254" t="s">
        <x:v>14</x:v>
      </x:c>
      <x:c r="E254" s="20">
        <x:v>0</x:v>
      </x:c>
      <x:c r="F254">
        <x:v>180</x:v>
      </x:c>
      <x:c r="G254" s="27" t="n">
        <x:f t="shared" si="12">MAX(0,42.71-(0.42*A254))</x:f>
        <x:v>0</x:v>
      </x:c>
      <x:c r="H254" s="27" t="str">
        <x:f t="shared" si="13">IF(E254="","",E254-G254)</x:f>
      </x:c>
      <x:c r="I254" t="str">
        <x:f t="shared" si="14">IF(E254="","No Auction Value",IF(OR(H254&gt;=8,J254&gt;=15),"🔥 STEAL",IF(OR(H254&gt;=4,J254&gt;=7),"✅ VALUE",IF(OR(H254&gt;=1.5,J254&gt;=3),"👍 SLIGHT VALUE",IF(AND(H254&gt;-1.5,H254&lt;1.5,J254&gt;-3,J254&lt;3),"FAIR",IF(OR(H254&lt;=-5,J254&lt;=-10),"❌ AVOID","⚠️ REACH"))))))</x:f>
        <x:v>No Auction Value</x:v>
      </x:c>
      <x:c r="J254" s="28" t="n">
        <x:f t="shared" si="15">IF(F254="","",A254-F254)</x:f>
        <x:v>73</x:v>
      </x:c>
    </x:row>
    <x:row r="255">
      <x:c r="A255">
        <x:v>254</x:v>
      </x:c>
      <x:c r="B255" t="s">
        <x:v>553</x:v>
      </x:c>
      <x:c r="C255" t="s">
        <x:v>554</x:v>
      </x:c>
      <x:c r="D255" t="s">
        <x:v>9</x:v>
      </x:c>
      <x:c r="E255" s="20"/>
      <x:c r="G255" s="27" t="n">
        <x:f t="shared" si="12">MAX(0,42.71-(0.42*A255))</x:f>
        <x:v>0</x:v>
      </x:c>
      <x:c r="H255" s="27" t="str">
        <x:f t="shared" si="13">IF(E255="","",E255-G255)</x:f>
      </x:c>
      <x:c r="I255" t="str">
        <x:f t="shared" si="14">IF(E255="","No Auction Value",IF(OR(H255&gt;=8,J255&gt;=15),"🔥 STEAL",IF(OR(H255&gt;=4,J255&gt;=7),"✅ VALUE",IF(OR(H255&gt;=1.5,J255&gt;=3),"👍 SLIGHT VALUE",IF(AND(H255&gt;-1.5,H255&lt;1.5,J255&gt;-3,J255&lt;3),"FAIR",IF(OR(H255&lt;=-5,J255&lt;=-10),"❌ AVOID","⚠️ REACH"))))))</x:f>
        <x:v>No Auction Value</x:v>
      </x:c>
      <x:c r="J255" s="28" t="str">
        <x:f t="shared" si="15">IF(F255="","",A255-F255)</x:f>
      </x:c>
    </x:row>
    <x:row r="256">
      <x:c r="A256">
        <x:v>255</x:v>
      </x:c>
      <x:c r="B256" t="s">
        <x:v>555</x:v>
      </x:c>
      <x:c r="C256" t="s">
        <x:v>556</x:v>
      </x:c>
      <x:c r="D256" t="s">
        <x:v>9</x:v>
      </x:c>
      <x:c r="E256" s="20">
        <x:v>0</x:v>
      </x:c>
      <x:c r="F256">
        <x:v>180</x:v>
      </x:c>
      <x:c r="G256" s="27" t="n">
        <x:f t="shared" si="12">MAX(0,42.71-(0.42*A256))</x:f>
        <x:v>0</x:v>
      </x:c>
      <x:c r="H256" s="27" t="str">
        <x:f t="shared" si="13">IF(E256="","",E256-G256)</x:f>
      </x:c>
      <x:c r="I256" t="str">
        <x:f t="shared" si="14">IF(E256="","No Auction Value",IF(OR(H256&gt;=8,J256&gt;=15),"🔥 STEAL",IF(OR(H256&gt;=4,J256&gt;=7),"✅ VALUE",IF(OR(H256&gt;=1.5,J256&gt;=3),"👍 SLIGHT VALUE",IF(AND(H256&gt;-1.5,H256&lt;1.5,J256&gt;-3,J256&lt;3),"FAIR",IF(OR(H256&lt;=-5,J256&lt;=-10),"❌ AVOID","⚠️ REACH"))))))</x:f>
        <x:v>No Auction Value</x:v>
      </x:c>
      <x:c r="J256" s="28" t="n">
        <x:f t="shared" si="15">IF(F256="","",A256-F256)</x:f>
        <x:v>75</x:v>
      </x:c>
    </x:row>
    <x:row r="257">
      <x:c r="A257">
        <x:v>256</x:v>
      </x:c>
      <x:c r="B257" t="s">
        <x:v>557</x:v>
      </x:c>
      <x:c r="C257" t="s">
        <x:v>558</x:v>
      </x:c>
      <x:c r="D257" t="s">
        <x:v>14</x:v>
      </x:c>
      <x:c r="E257" s="20"/>
      <x:c r="G257" s="27" t="n">
        <x:f t="shared" si="12">MAX(0,42.71-(0.42*A257))</x:f>
        <x:v>0</x:v>
      </x:c>
      <x:c r="H257" s="27" t="str">
        <x:f t="shared" si="13">IF(E257="","",E257-G257)</x:f>
      </x:c>
      <x:c r="I257" t="str">
        <x:f t="shared" si="14">IF(E257="","No Auction Value",IF(OR(H257&gt;=8,J257&gt;=15),"🔥 STEAL",IF(OR(H257&gt;=4,J257&gt;=7),"✅ VALUE",IF(OR(H257&gt;=1.5,J257&gt;=3),"👍 SLIGHT VALUE",IF(AND(H257&gt;-1.5,H257&lt;1.5,J257&gt;-3,J257&lt;3),"FAIR",IF(OR(H257&lt;=-5,J257&lt;=-10),"❌ AVOID","⚠️ REACH"))))))</x:f>
        <x:v>No Auction Value</x:v>
      </x:c>
      <x:c r="J257" s="28" t="str">
        <x:f t="shared" si="15">IF(F257="","",A257-F257)</x:f>
      </x:c>
    </x:row>
    <x:row r="258">
      <x:c r="A258">
        <x:v>257</x:v>
      </x:c>
      <x:c r="B258" t="s">
        <x:v>559</x:v>
      </x:c>
      <x:c r="C258" t="s">
        <x:v>560</x:v>
      </x:c>
      <x:c r="D258" t="s">
        <x:v>65</x:v>
      </x:c>
      <x:c r="E258" s="20"/>
      <x:c r="G258" s="27" t="n">
        <x:f t="shared" ref="G258:G301" si="16">MAX(0,42.71-(0.42*A258))</x:f>
        <x:v>0</x:v>
      </x:c>
      <x:c r="H258" s="27" t="str">
        <x:f t="shared" ref="H258:H301" si="17">IF(E258="","",E258-G258)</x:f>
      </x:c>
      <x:c r="I258" t="str">
        <x:f t="shared" ref="I258:I301" si="18">IF(E258="","No Auction Value",IF(OR(H258&gt;=8,J258&gt;=15),"🔥 STEAL",IF(OR(H258&gt;=4,J258&gt;=7),"✅ VALUE",IF(OR(H258&gt;=1.5,J258&gt;=3),"👍 SLIGHT VALUE",IF(AND(H258&gt;-1.5,H258&lt;1.5,J258&gt;-3,J258&lt;3),"FAIR",IF(OR(H258&lt;=-5,J258&lt;=-10),"❌ AVOID","⚠️ REACH"))))))</x:f>
        <x:v>No Auction Value</x:v>
      </x:c>
      <x:c r="J258" s="28" t="str">
        <x:f t="shared" ref="J258:J301" si="19">IF(F258="","",A258-F258)</x:f>
      </x:c>
    </x:row>
    <x:row r="259">
      <x:c r="A259">
        <x:v>258</x:v>
      </x:c>
      <x:c r="B259" t="s">
        <x:v>561</x:v>
      </x:c>
      <x:c r="C259" t="s">
        <x:v>562</x:v>
      </x:c>
      <x:c r="D259" t="s">
        <x:v>65</x:v>
      </x:c>
      <x:c r="E259" s="20">
        <x:v>0</x:v>
      </x:c>
      <x:c r="F259">
        <x:v>180</x:v>
      </x:c>
      <x:c r="G259" s="27" t="n">
        <x:f t="shared" si="16">MAX(0,42.71-(0.42*A259))</x:f>
        <x:v>0</x:v>
      </x:c>
      <x:c r="H259" s="27" t="str">
        <x:f t="shared" si="17">IF(E259="","",E259-G259)</x:f>
      </x:c>
      <x:c r="I259" t="str">
        <x:f t="shared" si="18">IF(E259="","No Auction Value",IF(OR(H259&gt;=8,J259&gt;=15),"🔥 STEAL",IF(OR(H259&gt;=4,J259&gt;=7),"✅ VALUE",IF(OR(H259&gt;=1.5,J259&gt;=3),"👍 SLIGHT VALUE",IF(AND(H259&gt;-1.5,H259&lt;1.5,J259&gt;-3,J259&lt;3),"FAIR",IF(OR(H259&lt;=-5,J259&lt;=-10),"❌ AVOID","⚠️ REACH"))))))</x:f>
        <x:v>No Auction Value</x:v>
      </x:c>
      <x:c r="J259" s="28" t="n">
        <x:f t="shared" si="19">IF(F259="","",A259-F259)</x:f>
        <x:v>78</x:v>
      </x:c>
    </x:row>
    <x:row r="260">
      <x:c r="A260">
        <x:v>259</x:v>
      </x:c>
      <x:c r="B260" t="s">
        <x:v>563</x:v>
      </x:c>
      <x:c r="C260" t="s">
        <x:v>564</x:v>
      </x:c>
      <x:c r="D260" t="s">
        <x:v>14</x:v>
      </x:c>
      <x:c r="E260" s="20"/>
      <x:c r="G260" s="27" t="n">
        <x:f t="shared" si="16">MAX(0,42.71-(0.42*A260))</x:f>
        <x:v>0</x:v>
      </x:c>
      <x:c r="H260" s="27" t="str">
        <x:f t="shared" si="17">IF(E260="","",E260-G260)</x:f>
      </x:c>
      <x:c r="I260" t="str">
        <x:f t="shared" si="18">IF(E260="","No Auction Value",IF(OR(H260&gt;=8,J260&gt;=15),"🔥 STEAL",IF(OR(H260&gt;=4,J260&gt;=7),"✅ VALUE",IF(OR(H260&gt;=1.5,J260&gt;=3),"👍 SLIGHT VALUE",IF(AND(H260&gt;-1.5,H260&lt;1.5,J260&gt;-3,J260&lt;3),"FAIR",IF(OR(H260&lt;=-5,J260&lt;=-10),"❌ AVOID","⚠️ REACH"))))))</x:f>
        <x:v>No Auction Value</x:v>
      </x:c>
      <x:c r="J260" s="28" t="str">
        <x:f t="shared" si="19">IF(F260="","",A260-F260)</x:f>
      </x:c>
    </x:row>
    <x:row r="261">
      <x:c r="A261">
        <x:v>260</x:v>
      </x:c>
      <x:c r="B261" t="s">
        <x:v>565</x:v>
      </x:c>
      <x:c r="C261" t="s">
        <x:v>566</x:v>
      </x:c>
      <x:c r="D261" t="s">
        <x:v>14</x:v>
      </x:c>
      <x:c r="E261" s="20">
        <x:v>0</x:v>
      </x:c>
      <x:c r="F261">
        <x:v>180</x:v>
      </x:c>
      <x:c r="G261" s="27" t="n">
        <x:f t="shared" si="16">MAX(0,42.71-(0.42*A261))</x:f>
        <x:v>0</x:v>
      </x:c>
      <x:c r="H261" s="27" t="str">
        <x:f t="shared" si="17">IF(E261="","",E261-G261)</x:f>
      </x:c>
      <x:c r="I261" t="str">
        <x:f t="shared" si="18">IF(E261="","No Auction Value",IF(OR(H261&gt;=8,J261&gt;=15),"🔥 STEAL",IF(OR(H261&gt;=4,J261&gt;=7),"✅ VALUE",IF(OR(H261&gt;=1.5,J261&gt;=3),"👍 SLIGHT VALUE",IF(AND(H261&gt;-1.5,H261&lt;1.5,J261&gt;-3,J261&lt;3),"FAIR",IF(OR(H261&lt;=-5,J261&lt;=-10),"❌ AVOID","⚠️ REACH"))))))</x:f>
        <x:v>No Auction Value</x:v>
      </x:c>
      <x:c r="J261" s="28" t="n">
        <x:f t="shared" si="19">IF(F261="","",A261-F261)</x:f>
        <x:v>80</x:v>
      </x:c>
    </x:row>
    <x:row r="262">
      <x:c r="A262">
        <x:v>261</x:v>
      </x:c>
      <x:c r="B262" t="s">
        <x:v>567</x:v>
      </x:c>
      <x:c r="C262" t="s">
        <x:v>568</x:v>
      </x:c>
      <x:c r="D262" t="s">
        <x:v>14</x:v>
      </x:c>
      <x:c r="E262" s="20"/>
      <x:c r="G262" s="27" t="n">
        <x:f t="shared" si="16">MAX(0,42.71-(0.42*A262))</x:f>
        <x:v>0</x:v>
      </x:c>
      <x:c r="H262" s="27" t="str">
        <x:f t="shared" si="17">IF(E262="","",E262-G262)</x:f>
      </x:c>
      <x:c r="I262" t="str">
        <x:f t="shared" si="18">IF(E262="","No Auction Value",IF(OR(H262&gt;=8,J262&gt;=15),"🔥 STEAL",IF(OR(H262&gt;=4,J262&gt;=7),"✅ VALUE",IF(OR(H262&gt;=1.5,J262&gt;=3),"👍 SLIGHT VALUE",IF(AND(H262&gt;-1.5,H262&lt;1.5,J262&gt;-3,J262&lt;3),"FAIR",IF(OR(H262&lt;=-5,J262&lt;=-10),"❌ AVOID","⚠️ REACH"))))))</x:f>
        <x:v>No Auction Value</x:v>
      </x:c>
      <x:c r="J262" s="28" t="str">
        <x:f t="shared" si="19">IF(F262="","",A262-F262)</x:f>
      </x:c>
    </x:row>
    <x:row r="263">
      <x:c r="A263">
        <x:v>262</x:v>
      </x:c>
      <x:c r="B263" t="s">
        <x:v>569</x:v>
      </x:c>
      <x:c r="C263" t="s">
        <x:v>570</x:v>
      </x:c>
      <x:c r="D263" t="s">
        <x:v>14</x:v>
      </x:c>
      <x:c r="E263" s="20">
        <x:v>0</x:v>
      </x:c>
      <x:c r="F263">
        <x:v>180</x:v>
      </x:c>
      <x:c r="G263" s="27" t="n">
        <x:f t="shared" si="16">MAX(0,42.71-(0.42*A263))</x:f>
        <x:v>0</x:v>
      </x:c>
      <x:c r="H263" s="27" t="str">
        <x:f t="shared" si="17">IF(E263="","",E263-G263)</x:f>
      </x:c>
      <x:c r="I263" t="str">
        <x:f t="shared" si="18">IF(E263="","No Auction Value",IF(OR(H263&gt;=8,J263&gt;=15),"🔥 STEAL",IF(OR(H263&gt;=4,J263&gt;=7),"✅ VALUE",IF(OR(H263&gt;=1.5,J263&gt;=3),"👍 SLIGHT VALUE",IF(AND(H263&gt;-1.5,H263&lt;1.5,J263&gt;-3,J263&lt;3),"FAIR",IF(OR(H263&lt;=-5,J263&lt;=-10),"❌ AVOID","⚠️ REACH"))))))</x:f>
        <x:v>No Auction Value</x:v>
      </x:c>
      <x:c r="J263" s="28" t="n">
        <x:f t="shared" si="19">IF(F263="","",A263-F263)</x:f>
        <x:v>82</x:v>
      </x:c>
    </x:row>
    <x:row r="264">
      <x:c r="A264">
        <x:v>263</x:v>
      </x:c>
      <x:c r="B264" t="s">
        <x:v>571</x:v>
      </x:c>
      <x:c r="C264" t="s">
        <x:v>572</x:v>
      </x:c>
      <x:c r="D264" t="s">
        <x:v>9</x:v>
      </x:c>
      <x:c r="E264" s="20">
        <x:v>0</x:v>
      </x:c>
      <x:c r="F264">
        <x:v>180</x:v>
      </x:c>
      <x:c r="G264" s="27" t="n">
        <x:f t="shared" si="16">MAX(0,42.71-(0.42*A264))</x:f>
        <x:v>0</x:v>
      </x:c>
      <x:c r="H264" s="27" t="str">
        <x:f t="shared" si="17">IF(E264="","",E264-G264)</x:f>
      </x:c>
      <x:c r="I264" t="str">
        <x:f t="shared" si="18">IF(E264="","No Auction Value",IF(OR(H264&gt;=8,J264&gt;=15),"🔥 STEAL",IF(OR(H264&gt;=4,J264&gt;=7),"✅ VALUE",IF(OR(H264&gt;=1.5,J264&gt;=3),"👍 SLIGHT VALUE",IF(AND(H264&gt;-1.5,H264&lt;1.5,J264&gt;-3,J264&lt;3),"FAIR",IF(OR(H264&lt;=-5,J264&lt;=-10),"❌ AVOID","⚠️ REACH"))))))</x:f>
        <x:v>No Auction Value</x:v>
      </x:c>
      <x:c r="J264" s="28" t="n">
        <x:f t="shared" si="19">IF(F264="","",A264-F264)</x:f>
        <x:v>83</x:v>
      </x:c>
    </x:row>
    <x:row r="265">
      <x:c r="A265">
        <x:v>264</x:v>
      </x:c>
      <x:c r="B265" t="s">
        <x:v>573</x:v>
      </x:c>
      <x:c r="C265" t="s">
        <x:v>574</x:v>
      </x:c>
      <x:c r="D265" t="s">
        <x:v>14</x:v>
      </x:c>
      <x:c r="E265" s="20">
        <x:v>0</x:v>
      </x:c>
      <x:c r="F265">
        <x:v>180</x:v>
      </x:c>
      <x:c r="G265" s="27" t="n">
        <x:f t="shared" si="16">MAX(0,42.71-(0.42*A265))</x:f>
        <x:v>0</x:v>
      </x:c>
      <x:c r="H265" s="27" t="str">
        <x:f t="shared" si="17">IF(E265="","",E265-G265)</x:f>
      </x:c>
      <x:c r="I265" t="str">
        <x:f t="shared" si="18">IF(E265="","No Auction Value",IF(OR(H265&gt;=8,J265&gt;=15),"🔥 STEAL",IF(OR(H265&gt;=4,J265&gt;=7),"✅ VALUE",IF(OR(H265&gt;=1.5,J265&gt;=3),"👍 SLIGHT VALUE",IF(AND(H265&gt;-1.5,H265&lt;1.5,J265&gt;-3,J265&lt;3),"FAIR",IF(OR(H265&lt;=-5,J265&lt;=-10),"❌ AVOID","⚠️ REACH"))))))</x:f>
        <x:v>No Auction Value</x:v>
      </x:c>
      <x:c r="J265" s="28" t="n">
        <x:f t="shared" si="19">IF(F265="","",A265-F265)</x:f>
        <x:v>84</x:v>
      </x:c>
    </x:row>
    <x:row r="266">
      <x:c r="A266">
        <x:v>265</x:v>
      </x:c>
      <x:c r="B266" t="s">
        <x:v>575</x:v>
      </x:c>
      <x:c r="C266" t="s">
        <x:v>576</x:v>
      </x:c>
      <x:c r="D266" t="s">
        <x:v>65</x:v>
      </x:c>
      <x:c r="E266" s="20"/>
      <x:c r="G266" s="27" t="n">
        <x:f t="shared" si="16">MAX(0,42.71-(0.42*A266))</x:f>
        <x:v>0</x:v>
      </x:c>
      <x:c r="H266" s="27" t="str">
        <x:f t="shared" si="17">IF(E266="","",E266-G266)</x:f>
      </x:c>
      <x:c r="I266" t="str">
        <x:f t="shared" si="18">IF(E266="","No Auction Value",IF(OR(H266&gt;=8,J266&gt;=15),"🔥 STEAL",IF(OR(H266&gt;=4,J266&gt;=7),"✅ VALUE",IF(OR(H266&gt;=1.5,J266&gt;=3),"👍 SLIGHT VALUE",IF(AND(H266&gt;-1.5,H266&lt;1.5,J266&gt;-3,J266&lt;3),"FAIR",IF(OR(H266&lt;=-5,J266&lt;=-10),"❌ AVOID","⚠️ REACH"))))))</x:f>
        <x:v>No Auction Value</x:v>
      </x:c>
      <x:c r="J266" s="28" t="str">
        <x:f t="shared" si="19">IF(F266="","",A266-F266)</x:f>
      </x:c>
    </x:row>
    <x:row r="267">
      <x:c r="A267">
        <x:v>266</x:v>
      </x:c>
      <x:c r="B267" t="s">
        <x:v>577</x:v>
      </x:c>
      <x:c r="C267" t="s">
        <x:v>578</x:v>
      </x:c>
      <x:c r="D267" t="s">
        <x:v>65</x:v>
      </x:c>
      <x:c r="E267" s="20"/>
      <x:c r="G267" s="27" t="n">
        <x:f t="shared" si="16">MAX(0,42.71-(0.42*A267))</x:f>
        <x:v>0</x:v>
      </x:c>
      <x:c r="H267" s="27" t="str">
        <x:f t="shared" si="17">IF(E267="","",E267-G267)</x:f>
      </x:c>
      <x:c r="I267" t="str">
        <x:f t="shared" si="18">IF(E267="","No Auction Value",IF(OR(H267&gt;=8,J267&gt;=15),"🔥 STEAL",IF(OR(H267&gt;=4,J267&gt;=7),"✅ VALUE",IF(OR(H267&gt;=1.5,J267&gt;=3),"👍 SLIGHT VALUE",IF(AND(H267&gt;-1.5,H267&lt;1.5,J267&gt;-3,J267&lt;3),"FAIR",IF(OR(H267&lt;=-5,J267&lt;=-10),"❌ AVOID","⚠️ REACH"))))))</x:f>
        <x:v>No Auction Value</x:v>
      </x:c>
      <x:c r="J267" s="28" t="str">
        <x:f t="shared" si="19">IF(F267="","",A267-F267)</x:f>
      </x:c>
    </x:row>
    <x:row r="268">
      <x:c r="A268">
        <x:v>267</x:v>
      </x:c>
      <x:c r="B268" t="s">
        <x:v>579</x:v>
      </x:c>
      <x:c r="C268" t="s">
        <x:v>580</x:v>
      </x:c>
      <x:c r="D268" t="s">
        <x:v>65</x:v>
      </x:c>
      <x:c r="E268" s="20">
        <x:v>0</x:v>
      </x:c>
      <x:c r="F268">
        <x:v>180</x:v>
      </x:c>
      <x:c r="G268" s="27" t="n">
        <x:f t="shared" si="16">MAX(0,42.71-(0.42*A268))</x:f>
        <x:v>0</x:v>
      </x:c>
      <x:c r="H268" s="27" t="str">
        <x:f t="shared" si="17">IF(E268="","",E268-G268)</x:f>
      </x:c>
      <x:c r="I268" t="str">
        <x:f t="shared" si="18">IF(E268="","No Auction Value",IF(OR(H268&gt;=8,J268&gt;=15),"🔥 STEAL",IF(OR(H268&gt;=4,J268&gt;=7),"✅ VALUE",IF(OR(H268&gt;=1.5,J268&gt;=3),"👍 SLIGHT VALUE",IF(AND(H268&gt;-1.5,H268&lt;1.5,J268&gt;-3,J268&lt;3),"FAIR",IF(OR(H268&lt;=-5,J268&lt;=-10),"❌ AVOID","⚠️ REACH"))))))</x:f>
        <x:v>No Auction Value</x:v>
      </x:c>
      <x:c r="J268" s="28" t="n">
        <x:f t="shared" si="19">IF(F268="","",A268-F268)</x:f>
        <x:v>87</x:v>
      </x:c>
    </x:row>
    <x:row r="269">
      <x:c r="A269">
        <x:v>268</x:v>
      </x:c>
      <x:c r="B269" t="s">
        <x:v>581</x:v>
      </x:c>
      <x:c r="C269" t="s">
        <x:v>582</x:v>
      </x:c>
      <x:c r="D269" t="s">
        <x:v>116</x:v>
      </x:c>
      <x:c r="E269" s="20"/>
      <x:c r="G269" s="27" t="n">
        <x:f t="shared" si="16">MAX(0,42.71-(0.42*A269))</x:f>
        <x:v>0</x:v>
      </x:c>
      <x:c r="H269" s="27" t="str">
        <x:f t="shared" si="17">IF(E269="","",E269-G269)</x:f>
      </x:c>
      <x:c r="I269" t="str">
        <x:f t="shared" si="18">IF(E269="","No Auction Value",IF(OR(H269&gt;=8,J269&gt;=15),"🔥 STEAL",IF(OR(H269&gt;=4,J269&gt;=7),"✅ VALUE",IF(OR(H269&gt;=1.5,J269&gt;=3),"👍 SLIGHT VALUE",IF(AND(H269&gt;-1.5,H269&lt;1.5,J269&gt;-3,J269&lt;3),"FAIR",IF(OR(H269&lt;=-5,J269&lt;=-10),"❌ AVOID","⚠️ REACH"))))))</x:f>
        <x:v>No Auction Value</x:v>
      </x:c>
      <x:c r="J269" s="28" t="str">
        <x:f t="shared" si="19">IF(F269="","",A269-F269)</x:f>
      </x:c>
    </x:row>
    <x:row r="270">
      <x:c r="A270">
        <x:v>269</x:v>
      </x:c>
      <x:c r="B270" t="s">
        <x:v>583</x:v>
      </x:c>
      <x:c r="C270" t="s">
        <x:v>584</x:v>
      </x:c>
      <x:c r="D270" t="s">
        <x:v>14</x:v>
      </x:c>
      <x:c r="E270" s="20"/>
      <x:c r="G270" s="27" t="n">
        <x:f t="shared" si="16">MAX(0,42.71-(0.42*A270))</x:f>
        <x:v>0</x:v>
      </x:c>
      <x:c r="H270" s="27" t="str">
        <x:f t="shared" si="17">IF(E270="","",E270-G270)</x:f>
      </x:c>
      <x:c r="I270" t="str">
        <x:f t="shared" si="18">IF(E270="","No Auction Value",IF(OR(H270&gt;=8,J270&gt;=15),"🔥 STEAL",IF(OR(H270&gt;=4,J270&gt;=7),"✅ VALUE",IF(OR(H270&gt;=1.5,J270&gt;=3),"👍 SLIGHT VALUE",IF(AND(H270&gt;-1.5,H270&lt;1.5,J270&gt;-3,J270&lt;3),"FAIR",IF(OR(H270&lt;=-5,J270&lt;=-10),"❌ AVOID","⚠️ REACH"))))))</x:f>
        <x:v>No Auction Value</x:v>
      </x:c>
      <x:c r="J270" s="28" t="str">
        <x:f t="shared" si="19">IF(F270="","",A270-F270)</x:f>
      </x:c>
    </x:row>
    <x:row r="271">
      <x:c r="A271">
        <x:v>270</x:v>
      </x:c>
      <x:c r="B271" t="s">
        <x:v>585</x:v>
      </x:c>
      <x:c r="C271" t="s">
        <x:v>586</x:v>
      </x:c>
      <x:c r="D271" t="s">
        <x:v>65</x:v>
      </x:c>
      <x:c r="E271" s="20"/>
      <x:c r="G271" s="27" t="n">
        <x:f t="shared" si="16">MAX(0,42.71-(0.42*A271))</x:f>
        <x:v>0</x:v>
      </x:c>
      <x:c r="H271" s="27" t="str">
        <x:f t="shared" si="17">IF(E271="","",E271-G271)</x:f>
      </x:c>
      <x:c r="I271" t="str">
        <x:f t="shared" si="18">IF(E271="","No Auction Value",IF(OR(H271&gt;=8,J271&gt;=15),"🔥 STEAL",IF(OR(H271&gt;=4,J271&gt;=7),"✅ VALUE",IF(OR(H271&gt;=1.5,J271&gt;=3),"👍 SLIGHT VALUE",IF(AND(H271&gt;-1.5,H271&lt;1.5,J271&gt;-3,J271&lt;3),"FAIR",IF(OR(H271&lt;=-5,J271&lt;=-10),"❌ AVOID","⚠️ REACH"))))))</x:f>
        <x:v>No Auction Value</x:v>
      </x:c>
      <x:c r="J271" s="28" t="str">
        <x:f t="shared" si="19">IF(F271="","",A271-F271)</x:f>
      </x:c>
    </x:row>
    <x:row r="272">
      <x:c r="A272">
        <x:v>271</x:v>
      </x:c>
      <x:c r="B272" t="s">
        <x:v>587</x:v>
      </x:c>
      <x:c r="C272" t="s">
        <x:v>588</x:v>
      </x:c>
      <x:c r="D272" t="s">
        <x:v>65</x:v>
      </x:c>
      <x:c r="E272" s="20"/>
      <x:c r="G272" s="27" t="n">
        <x:f t="shared" si="16">MAX(0,42.71-(0.42*A272))</x:f>
        <x:v>0</x:v>
      </x:c>
      <x:c r="H272" s="27" t="str">
        <x:f t="shared" si="17">IF(E272="","",E272-G272)</x:f>
      </x:c>
      <x:c r="I272" t="str">
        <x:f t="shared" si="18">IF(E272="","No Auction Value",IF(OR(H272&gt;=8,J272&gt;=15),"🔥 STEAL",IF(OR(H272&gt;=4,J272&gt;=7),"✅ VALUE",IF(OR(H272&gt;=1.5,J272&gt;=3),"👍 SLIGHT VALUE",IF(AND(H272&gt;-1.5,H272&lt;1.5,J272&gt;-3,J272&lt;3),"FAIR",IF(OR(H272&lt;=-5,J272&lt;=-10),"❌ AVOID","⚠️ REACH"))))))</x:f>
        <x:v>No Auction Value</x:v>
      </x:c>
      <x:c r="J272" s="28" t="str">
        <x:f t="shared" si="19">IF(F272="","",A272-F272)</x:f>
      </x:c>
    </x:row>
    <x:row r="273">
      <x:c r="A273">
        <x:v>272</x:v>
      </x:c>
      <x:c r="B273" t="s">
        <x:v>589</x:v>
      </x:c>
      <x:c r="C273" t="s">
        <x:v>590</x:v>
      </x:c>
      <x:c r="D273" t="s">
        <x:v>116</x:v>
      </x:c>
      <x:c r="E273" s="20"/>
      <x:c r="G273" s="27" t="n">
        <x:f t="shared" si="16">MAX(0,42.71-(0.42*A273))</x:f>
        <x:v>0</x:v>
      </x:c>
      <x:c r="H273" s="27" t="str">
        <x:f t="shared" si="17">IF(E273="","",E273-G273)</x:f>
      </x:c>
      <x:c r="I273" t="str">
        <x:f t="shared" si="18">IF(E273="","No Auction Value",IF(OR(H273&gt;=8,J273&gt;=15),"🔥 STEAL",IF(OR(H273&gt;=4,J273&gt;=7),"✅ VALUE",IF(OR(H273&gt;=1.5,J273&gt;=3),"👍 SLIGHT VALUE",IF(AND(H273&gt;-1.5,H273&lt;1.5,J273&gt;-3,J273&lt;3),"FAIR",IF(OR(H273&lt;=-5,J273&lt;=-10),"❌ AVOID","⚠️ REACH"))))))</x:f>
        <x:v>No Auction Value</x:v>
      </x:c>
      <x:c r="J273" s="28" t="str">
        <x:f t="shared" si="19">IF(F273="","",A273-F273)</x:f>
      </x:c>
    </x:row>
    <x:row r="274">
      <x:c r="A274">
        <x:v>273</x:v>
      </x:c>
      <x:c r="B274" t="s">
        <x:v>591</x:v>
      </x:c>
      <x:c r="C274" t="s">
        <x:v>592</x:v>
      </x:c>
      <x:c r="D274" t="s">
        <x:v>65</x:v>
      </x:c>
      <x:c r="E274" s="20">
        <x:v>0</x:v>
      </x:c>
      <x:c r="F274">
        <x:v>180</x:v>
      </x:c>
      <x:c r="G274" s="27" t="n">
        <x:f t="shared" si="16">MAX(0,42.71-(0.42*A274))</x:f>
        <x:v>0</x:v>
      </x:c>
      <x:c r="H274" s="27" t="str">
        <x:f t="shared" si="17">IF(E274="","",E274-G274)</x:f>
      </x:c>
      <x:c r="I274" t="str">
        <x:f t="shared" si="18">IF(E274="","No Auction Value",IF(OR(H274&gt;=8,J274&gt;=15),"🔥 STEAL",IF(OR(H274&gt;=4,J274&gt;=7),"✅ VALUE",IF(OR(H274&gt;=1.5,J274&gt;=3),"👍 SLIGHT VALUE",IF(AND(H274&gt;-1.5,H274&lt;1.5,J274&gt;-3,J274&lt;3),"FAIR",IF(OR(H274&lt;=-5,J274&lt;=-10),"❌ AVOID","⚠️ REACH"))))))</x:f>
        <x:v>No Auction Value</x:v>
      </x:c>
      <x:c r="J274" s="28" t="n">
        <x:f t="shared" si="19">IF(F274="","",A274-F274)</x:f>
        <x:v>93</x:v>
      </x:c>
    </x:row>
    <x:row r="275">
      <x:c r="A275">
        <x:v>274</x:v>
      </x:c>
      <x:c r="B275" t="s">
        <x:v>593</x:v>
      </x:c>
      <x:c r="C275" t="s">
        <x:v>594</x:v>
      </x:c>
      <x:c r="D275" t="s">
        <x:v>116</x:v>
      </x:c>
      <x:c r="E275" s="20"/>
      <x:c r="G275" s="27" t="n">
        <x:f t="shared" si="16">MAX(0,42.71-(0.42*A275))</x:f>
        <x:v>0</x:v>
      </x:c>
      <x:c r="H275" s="27" t="str">
        <x:f t="shared" si="17">IF(E275="","",E275-G275)</x:f>
      </x:c>
      <x:c r="I275" t="str">
        <x:f t="shared" si="18">IF(E275="","No Auction Value",IF(OR(H275&gt;=8,J275&gt;=15),"🔥 STEAL",IF(OR(H275&gt;=4,J275&gt;=7),"✅ VALUE",IF(OR(H275&gt;=1.5,J275&gt;=3),"👍 SLIGHT VALUE",IF(AND(H275&gt;-1.5,H275&lt;1.5,J275&gt;-3,J275&lt;3),"FAIR",IF(OR(H275&lt;=-5,J275&lt;=-10),"❌ AVOID","⚠️ REACH"))))))</x:f>
        <x:v>No Auction Value</x:v>
      </x:c>
      <x:c r="J275" s="28" t="str">
        <x:f t="shared" si="19">IF(F275="","",A275-F275)</x:f>
      </x:c>
    </x:row>
    <x:row r="276">
      <x:c r="A276">
        <x:v>275</x:v>
      </x:c>
      <x:c r="B276" t="s">
        <x:v>595</x:v>
      </x:c>
      <x:c r="C276" t="s">
        <x:v>596</x:v>
      </x:c>
      <x:c r="D276" t="s">
        <x:v>14</x:v>
      </x:c>
      <x:c r="E276" s="20">
        <x:v>0</x:v>
      </x:c>
      <x:c r="F276">
        <x:v>180</x:v>
      </x:c>
      <x:c r="G276" s="27" t="n">
        <x:f t="shared" si="16">MAX(0,42.71-(0.42*A276))</x:f>
        <x:v>0</x:v>
      </x:c>
      <x:c r="H276" s="27" t="str">
        <x:f t="shared" si="17">IF(E276="","",E276-G276)</x:f>
      </x:c>
      <x:c r="I276" t="str">
        <x:f t="shared" si="18">IF(E276="","No Auction Value",IF(OR(H276&gt;=8,J276&gt;=15),"🔥 STEAL",IF(OR(H276&gt;=4,J276&gt;=7),"✅ VALUE",IF(OR(H276&gt;=1.5,J276&gt;=3),"👍 SLIGHT VALUE",IF(AND(H276&gt;-1.5,H276&lt;1.5,J276&gt;-3,J276&lt;3),"FAIR",IF(OR(H276&lt;=-5,J276&lt;=-10),"❌ AVOID","⚠️ REACH"))))))</x:f>
        <x:v>No Auction Value</x:v>
      </x:c>
      <x:c r="J276" s="28" t="n">
        <x:f t="shared" si="19">IF(F276="","",A276-F276)</x:f>
        <x:v>95</x:v>
      </x:c>
    </x:row>
    <x:row r="277">
      <x:c r="A277">
        <x:v>276</x:v>
      </x:c>
      <x:c r="B277" t="s">
        <x:v>597</x:v>
      </x:c>
      <x:c r="C277" t="s">
        <x:v>598</x:v>
      </x:c>
      <x:c r="D277" t="s">
        <x:v>14</x:v>
      </x:c>
      <x:c r="E277" s="20">
        <x:v>0</x:v>
      </x:c>
      <x:c r="F277">
        <x:v>180</x:v>
      </x:c>
      <x:c r="G277" s="27" t="n">
        <x:f t="shared" si="16">MAX(0,42.71-(0.42*A277))</x:f>
        <x:v>0</x:v>
      </x:c>
      <x:c r="H277" s="27" t="str">
        <x:f t="shared" si="17">IF(E277="","",E277-G277)</x:f>
      </x:c>
      <x:c r="I277" t="str">
        <x:f t="shared" si="18">IF(E277="","No Auction Value",IF(OR(H277&gt;=8,J277&gt;=15),"🔥 STEAL",IF(OR(H277&gt;=4,J277&gt;=7),"✅ VALUE",IF(OR(H277&gt;=1.5,J277&gt;=3),"👍 SLIGHT VALUE",IF(AND(H277&gt;-1.5,H277&lt;1.5,J277&gt;-3,J277&lt;3),"FAIR",IF(OR(H277&lt;=-5,J277&lt;=-10),"❌ AVOID","⚠️ REACH"))))))</x:f>
        <x:v>No Auction Value</x:v>
      </x:c>
      <x:c r="J277" s="28" t="n">
        <x:f t="shared" si="19">IF(F277="","",A277-F277)</x:f>
        <x:v>96</x:v>
      </x:c>
    </x:row>
    <x:row r="278">
      <x:c r="A278">
        <x:v>277</x:v>
      </x:c>
      <x:c r="B278" t="s">
        <x:v>599</x:v>
      </x:c>
      <x:c r="C278" t="s">
        <x:v>600</x:v>
      </x:c>
      <x:c r="D278" t="s">
        <x:v>9</x:v>
      </x:c>
      <x:c r="E278" s="20"/>
      <x:c r="G278" s="27" t="n">
        <x:f t="shared" si="16">MAX(0,42.71-(0.42*A278))</x:f>
        <x:v>0</x:v>
      </x:c>
      <x:c r="H278" s="27" t="str">
        <x:f t="shared" si="17">IF(E278="","",E278-G278)</x:f>
      </x:c>
      <x:c r="I278" t="str">
        <x:f t="shared" si="18">IF(E278="","No Auction Value",IF(OR(H278&gt;=8,J278&gt;=15),"🔥 STEAL",IF(OR(H278&gt;=4,J278&gt;=7),"✅ VALUE",IF(OR(H278&gt;=1.5,J278&gt;=3),"👍 SLIGHT VALUE",IF(AND(H278&gt;-1.5,H278&lt;1.5,J278&gt;-3,J278&lt;3),"FAIR",IF(OR(H278&lt;=-5,J278&lt;=-10),"❌ AVOID","⚠️ REACH"))))))</x:f>
        <x:v>No Auction Value</x:v>
      </x:c>
      <x:c r="J278" s="28" t="str">
        <x:f t="shared" si="19">IF(F278="","",A278-F278)</x:f>
      </x:c>
    </x:row>
    <x:row r="279">
      <x:c r="A279">
        <x:v>278</x:v>
      </x:c>
      <x:c r="B279" t="s">
        <x:v>601</x:v>
      </x:c>
      <x:c r="C279" t="s">
        <x:v>602</x:v>
      </x:c>
      <x:c r="D279" t="s">
        <x:v>14</x:v>
      </x:c>
      <x:c r="E279" s="20"/>
      <x:c r="G279" s="27" t="n">
        <x:f t="shared" si="16">MAX(0,42.71-(0.42*A279))</x:f>
        <x:v>0</x:v>
      </x:c>
      <x:c r="H279" s="27" t="str">
        <x:f t="shared" si="17">IF(E279="","",E279-G279)</x:f>
      </x:c>
      <x:c r="I279" t="str">
        <x:f t="shared" si="18">IF(E279="","No Auction Value",IF(OR(H279&gt;=8,J279&gt;=15),"🔥 STEAL",IF(OR(H279&gt;=4,J279&gt;=7),"✅ VALUE",IF(OR(H279&gt;=1.5,J279&gt;=3),"👍 SLIGHT VALUE",IF(AND(H279&gt;-1.5,H279&lt;1.5,J279&gt;-3,J279&lt;3),"FAIR",IF(OR(H279&lt;=-5,J279&lt;=-10),"❌ AVOID","⚠️ REACH"))))))</x:f>
        <x:v>No Auction Value</x:v>
      </x:c>
      <x:c r="J279" s="28" t="str">
        <x:f t="shared" si="19">IF(F279="","",A279-F279)</x:f>
      </x:c>
    </x:row>
    <x:row r="280">
      <x:c r="A280">
        <x:v>279</x:v>
      </x:c>
      <x:c r="B280" t="s">
        <x:v>603</x:v>
      </x:c>
      <x:c r="C280" t="s">
        <x:v>604</x:v>
      </x:c>
      <x:c r="D280" t="s">
        <x:v>65</x:v>
      </x:c>
      <x:c r="E280" s="20"/>
      <x:c r="G280" s="27" t="n">
        <x:f t="shared" si="16">MAX(0,42.71-(0.42*A280))</x:f>
        <x:v>0</x:v>
      </x:c>
      <x:c r="H280" s="27" t="str">
        <x:f t="shared" si="17">IF(E280="","",E280-G280)</x:f>
      </x:c>
      <x:c r="I280" t="str">
        <x:f t="shared" si="18">IF(E280="","No Auction Value",IF(OR(H280&gt;=8,J280&gt;=15),"🔥 STEAL",IF(OR(H280&gt;=4,J280&gt;=7),"✅ VALUE",IF(OR(H280&gt;=1.5,J280&gt;=3),"👍 SLIGHT VALUE",IF(AND(H280&gt;-1.5,H280&lt;1.5,J280&gt;-3,J280&lt;3),"FAIR",IF(OR(H280&lt;=-5,J280&lt;=-10),"❌ AVOID","⚠️ REACH"))))))</x:f>
        <x:v>No Auction Value</x:v>
      </x:c>
      <x:c r="J280" s="28" t="str">
        <x:f t="shared" si="19">IF(F280="","",A280-F280)</x:f>
      </x:c>
    </x:row>
    <x:row r="281">
      <x:c r="A281">
        <x:v>280</x:v>
      </x:c>
      <x:c r="B281" t="s">
        <x:v>605</x:v>
      </x:c>
      <x:c r="C281" t="s">
        <x:v>606</x:v>
      </x:c>
      <x:c r="D281" t="s">
        <x:v>9</x:v>
      </x:c>
      <x:c r="E281" s="20"/>
      <x:c r="G281" s="27" t="n">
        <x:f t="shared" si="16">MAX(0,42.71-(0.42*A281))</x:f>
        <x:v>0</x:v>
      </x:c>
      <x:c r="H281" s="27" t="str">
        <x:f t="shared" si="17">IF(E281="","",E281-G281)</x:f>
      </x:c>
      <x:c r="I281" t="str">
        <x:f t="shared" si="18">IF(E281="","No Auction Value",IF(OR(H281&gt;=8,J281&gt;=15),"🔥 STEAL",IF(OR(H281&gt;=4,J281&gt;=7),"✅ VALUE",IF(OR(H281&gt;=1.5,J281&gt;=3),"👍 SLIGHT VALUE",IF(AND(H281&gt;-1.5,H281&lt;1.5,J281&gt;-3,J281&lt;3),"FAIR",IF(OR(H281&lt;=-5,J281&lt;=-10),"❌ AVOID","⚠️ REACH"))))))</x:f>
        <x:v>No Auction Value</x:v>
      </x:c>
      <x:c r="J281" s="28" t="str">
        <x:f t="shared" si="19">IF(F281="","",A281-F281)</x:f>
      </x:c>
    </x:row>
    <x:row r="282">
      <x:c r="A282">
        <x:v>281</x:v>
      </x:c>
      <x:c r="B282" t="s">
        <x:v>607</x:v>
      </x:c>
      <x:c r="C282" t="s">
        <x:v>608</x:v>
      </x:c>
      <x:c r="D282" t="s">
        <x:v>9</x:v>
      </x:c>
      <x:c r="E282" s="20">
        <x:v>0</x:v>
      </x:c>
      <x:c r="F282">
        <x:v>180</x:v>
      </x:c>
      <x:c r="G282" s="27" t="n">
        <x:f t="shared" si="16">MAX(0,42.71-(0.42*A282))</x:f>
        <x:v>0</x:v>
      </x:c>
      <x:c r="H282" s="27" t="str">
        <x:f t="shared" si="17">IF(E282="","",E282-G282)</x:f>
      </x:c>
      <x:c r="I282" t="str">
        <x:f t="shared" si="18">IF(E282="","No Auction Value",IF(OR(H282&gt;=8,J282&gt;=15),"🔥 STEAL",IF(OR(H282&gt;=4,J282&gt;=7),"✅ VALUE",IF(OR(H282&gt;=1.5,J282&gt;=3),"👍 SLIGHT VALUE",IF(AND(H282&gt;-1.5,H282&lt;1.5,J282&gt;-3,J282&lt;3),"FAIR",IF(OR(H282&lt;=-5,J282&lt;=-10),"❌ AVOID","⚠️ REACH"))))))</x:f>
        <x:v>No Auction Value</x:v>
      </x:c>
      <x:c r="J282" s="28" t="n">
        <x:f t="shared" si="19">IF(F282="","",A282-F282)</x:f>
        <x:v>101</x:v>
      </x:c>
    </x:row>
    <x:row r="283">
      <x:c r="A283">
        <x:v>282</x:v>
      </x:c>
      <x:c r="B283" t="s">
        <x:v>609</x:v>
      </x:c>
      <x:c r="C283" t="s">
        <x:v>610</x:v>
      </x:c>
      <x:c r="D283" t="s">
        <x:v>65</x:v>
      </x:c>
      <x:c r="E283" s="20">
        <x:v>0</x:v>
      </x:c>
      <x:c r="F283">
        <x:v>180</x:v>
      </x:c>
      <x:c r="G283" s="27" t="n">
        <x:f t="shared" si="16">MAX(0,42.71-(0.42*A283))</x:f>
        <x:v>0</x:v>
      </x:c>
      <x:c r="H283" s="27" t="str">
        <x:f t="shared" si="17">IF(E283="","",E283-G283)</x:f>
      </x:c>
      <x:c r="I283" t="str">
        <x:f t="shared" si="18">IF(E283="","No Auction Value",IF(OR(H283&gt;=8,J283&gt;=15),"🔥 STEAL",IF(OR(H283&gt;=4,J283&gt;=7),"✅ VALUE",IF(OR(H283&gt;=1.5,J283&gt;=3),"👍 SLIGHT VALUE",IF(AND(H283&gt;-1.5,H283&lt;1.5,J283&gt;-3,J283&lt;3),"FAIR",IF(OR(H283&lt;=-5,J283&lt;=-10),"❌ AVOID","⚠️ REACH"))))))</x:f>
        <x:v>No Auction Value</x:v>
      </x:c>
      <x:c r="J283" s="28" t="n">
        <x:f t="shared" si="19">IF(F283="","",A283-F283)</x:f>
        <x:v>102</x:v>
      </x:c>
    </x:row>
    <x:row r="284">
      <x:c r="A284">
        <x:v>283</x:v>
      </x:c>
      <x:c r="B284" t="s">
        <x:v>611</x:v>
      </x:c>
      <x:c r="C284" t="s">
        <x:v>612</x:v>
      </x:c>
      <x:c r="D284" t="s">
        <x:v>14</x:v>
      </x:c>
      <x:c r="E284" s="20"/>
      <x:c r="G284" s="27" t="n">
        <x:f t="shared" si="16">MAX(0,42.71-(0.42*A284))</x:f>
        <x:v>0</x:v>
      </x:c>
      <x:c r="H284" s="27" t="str">
        <x:f t="shared" si="17">IF(E284="","",E284-G284)</x:f>
      </x:c>
      <x:c r="I284" t="str">
        <x:f t="shared" si="18">IF(E284="","No Auction Value",IF(OR(H284&gt;=8,J284&gt;=15),"🔥 STEAL",IF(OR(H284&gt;=4,J284&gt;=7),"✅ VALUE",IF(OR(H284&gt;=1.5,J284&gt;=3),"👍 SLIGHT VALUE",IF(AND(H284&gt;-1.5,H284&lt;1.5,J284&gt;-3,J284&lt;3),"FAIR",IF(OR(H284&lt;=-5,J284&lt;=-10),"❌ AVOID","⚠️ REACH"))))))</x:f>
        <x:v>No Auction Value</x:v>
      </x:c>
      <x:c r="J284" s="28" t="str">
        <x:f t="shared" si="19">IF(F284="","",A284-F284)</x:f>
      </x:c>
    </x:row>
    <x:row r="285">
      <x:c r="A285">
        <x:v>284</x:v>
      </x:c>
      <x:c r="B285" t="s">
        <x:v>613</x:v>
      </x:c>
      <x:c r="C285" t="s">
        <x:v>614</x:v>
      </x:c>
      <x:c r="D285" t="s">
        <x:v>14</x:v>
      </x:c>
      <x:c r="E285" s="20"/>
      <x:c r="G285" s="27" t="n">
        <x:f t="shared" si="16">MAX(0,42.71-(0.42*A285))</x:f>
        <x:v>0</x:v>
      </x:c>
      <x:c r="H285" s="27" t="str">
        <x:f t="shared" si="17">IF(E285="","",E285-G285)</x:f>
      </x:c>
      <x:c r="I285" t="str">
        <x:f t="shared" si="18">IF(E285="","No Auction Value",IF(OR(H285&gt;=8,J285&gt;=15),"🔥 STEAL",IF(OR(H285&gt;=4,J285&gt;=7),"✅ VALUE",IF(OR(H285&gt;=1.5,J285&gt;=3),"👍 SLIGHT VALUE",IF(AND(H285&gt;-1.5,H285&lt;1.5,J285&gt;-3,J285&lt;3),"FAIR",IF(OR(H285&lt;=-5,J285&lt;=-10),"❌ AVOID","⚠️ REACH"))))))</x:f>
        <x:v>No Auction Value</x:v>
      </x:c>
      <x:c r="J285" s="28" t="str">
        <x:f t="shared" si="19">IF(F285="","",A285-F285)</x:f>
      </x:c>
    </x:row>
    <x:row r="286">
      <x:c r="A286">
        <x:v>285</x:v>
      </x:c>
      <x:c r="B286" t="s">
        <x:v>615</x:v>
      </x:c>
      <x:c r="C286" t="s">
        <x:v>616</x:v>
      </x:c>
      <x:c r="D286" t="s">
        <x:v>14</x:v>
      </x:c>
      <x:c r="E286" s="20"/>
      <x:c r="G286" s="27" t="n">
        <x:f t="shared" si="16">MAX(0,42.71-(0.42*A286))</x:f>
        <x:v>0</x:v>
      </x:c>
      <x:c r="H286" s="27" t="str">
        <x:f t="shared" si="17">IF(E286="","",E286-G286)</x:f>
      </x:c>
      <x:c r="I286" t="str">
        <x:f t="shared" si="18">IF(E286="","No Auction Value",IF(OR(H286&gt;=8,J286&gt;=15),"🔥 STEAL",IF(OR(H286&gt;=4,J286&gt;=7),"✅ VALUE",IF(OR(H286&gt;=1.5,J286&gt;=3),"👍 SLIGHT VALUE",IF(AND(H286&gt;-1.5,H286&lt;1.5,J286&gt;-3,J286&lt;3),"FAIR",IF(OR(H286&lt;=-5,J286&lt;=-10),"❌ AVOID","⚠️ REACH"))))))</x:f>
        <x:v>No Auction Value</x:v>
      </x:c>
      <x:c r="J286" s="28" t="str">
        <x:f t="shared" si="19">IF(F286="","",A286-F286)</x:f>
      </x:c>
    </x:row>
    <x:row r="287">
      <x:c r="A287">
        <x:v>286</x:v>
      </x:c>
      <x:c r="B287" t="s">
        <x:v>617</x:v>
      </x:c>
      <x:c r="C287" t="s">
        <x:v>618</x:v>
      </x:c>
      <x:c r="D287" t="s">
        <x:v>14</x:v>
      </x:c>
      <x:c r="E287" s="20"/>
      <x:c r="G287" s="27" t="n">
        <x:f t="shared" si="16">MAX(0,42.71-(0.42*A287))</x:f>
        <x:v>0</x:v>
      </x:c>
      <x:c r="H287" s="27" t="str">
        <x:f t="shared" si="17">IF(E287="","",E287-G287)</x:f>
      </x:c>
      <x:c r="I287" t="str">
        <x:f t="shared" si="18">IF(E287="","No Auction Value",IF(OR(H287&gt;=8,J287&gt;=15),"🔥 STEAL",IF(OR(H287&gt;=4,J287&gt;=7),"✅ VALUE",IF(OR(H287&gt;=1.5,J287&gt;=3),"👍 SLIGHT VALUE",IF(AND(H287&gt;-1.5,H287&lt;1.5,J287&gt;-3,J287&lt;3),"FAIR",IF(OR(H287&lt;=-5,J287&lt;=-10),"❌ AVOID","⚠️ REACH"))))))</x:f>
        <x:v>No Auction Value</x:v>
      </x:c>
      <x:c r="J287" s="28" t="str">
        <x:f t="shared" si="19">IF(F287="","",A287-F287)</x:f>
      </x:c>
    </x:row>
    <x:row r="288">
      <x:c r="A288">
        <x:v>287</x:v>
      </x:c>
      <x:c r="B288" t="s">
        <x:v>619</x:v>
      </x:c>
      <x:c r="C288" t="s">
        <x:v>620</x:v>
      </x:c>
      <x:c r="D288" t="s">
        <x:v>9</x:v>
      </x:c>
      <x:c r="E288" s="20">
        <x:v>0</x:v>
      </x:c>
      <x:c r="F288">
        <x:v>180</x:v>
      </x:c>
      <x:c r="G288" s="27" t="n">
        <x:f t="shared" si="16">MAX(0,42.71-(0.42*A288))</x:f>
        <x:v>0</x:v>
      </x:c>
      <x:c r="H288" s="27" t="str">
        <x:f t="shared" si="17">IF(E288="","",E288-G288)</x:f>
      </x:c>
      <x:c r="I288" t="str">
        <x:f t="shared" si="18">IF(E288="","No Auction Value",IF(OR(H288&gt;=8,J288&gt;=15),"🔥 STEAL",IF(OR(H288&gt;=4,J288&gt;=7),"✅ VALUE",IF(OR(H288&gt;=1.5,J288&gt;=3),"👍 SLIGHT VALUE",IF(AND(H288&gt;-1.5,H288&lt;1.5,J288&gt;-3,J288&lt;3),"FAIR",IF(OR(H288&lt;=-5,J288&lt;=-10),"❌ AVOID","⚠️ REACH"))))))</x:f>
        <x:v>No Auction Value</x:v>
      </x:c>
      <x:c r="J288" s="28" t="n">
        <x:f t="shared" si="19">IF(F288="","",A288-F288)</x:f>
        <x:v>107</x:v>
      </x:c>
    </x:row>
    <x:row r="289">
      <x:c r="A289">
        <x:v>288</x:v>
      </x:c>
      <x:c r="B289" t="s">
        <x:v>621</x:v>
      </x:c>
      <x:c r="C289" t="s">
        <x:v>622</x:v>
      </x:c>
      <x:c r="D289" t="s">
        <x:v>9</x:v>
      </x:c>
      <x:c r="E289" s="20"/>
      <x:c r="G289" s="27" t="n">
        <x:f t="shared" si="16">MAX(0,42.71-(0.42*A289))</x:f>
        <x:v>0</x:v>
      </x:c>
      <x:c r="H289" s="27" t="str">
        <x:f t="shared" si="17">IF(E289="","",E289-G289)</x:f>
      </x:c>
      <x:c r="I289" t="str">
        <x:f t="shared" si="18">IF(E289="","No Auction Value",IF(OR(H289&gt;=8,J289&gt;=15),"🔥 STEAL",IF(OR(H289&gt;=4,J289&gt;=7),"✅ VALUE",IF(OR(H289&gt;=1.5,J289&gt;=3),"👍 SLIGHT VALUE",IF(AND(H289&gt;-1.5,H289&lt;1.5,J289&gt;-3,J289&lt;3),"FAIR",IF(OR(H289&lt;=-5,J289&lt;=-10),"❌ AVOID","⚠️ REACH"))))))</x:f>
        <x:v>No Auction Value</x:v>
      </x:c>
      <x:c r="J289" s="28" t="str">
        <x:f t="shared" si="19">IF(F289="","",A289-F289)</x:f>
      </x:c>
    </x:row>
    <x:row r="290">
      <x:c r="A290">
        <x:v>289</x:v>
      </x:c>
      <x:c r="B290" t="s">
        <x:v>623</x:v>
      </x:c>
      <x:c r="C290" t="s">
        <x:v>624</x:v>
      </x:c>
      <x:c r="D290" t="s">
        <x:v>14</x:v>
      </x:c>
      <x:c r="E290" s="20"/>
      <x:c r="G290" s="27" t="n">
        <x:f t="shared" si="16">MAX(0,42.71-(0.42*A290))</x:f>
        <x:v>0</x:v>
      </x:c>
      <x:c r="H290" s="27" t="str">
        <x:f t="shared" si="17">IF(E290="","",E290-G290)</x:f>
      </x:c>
      <x:c r="I290" t="str">
        <x:f t="shared" si="18">IF(E290="","No Auction Value",IF(OR(H290&gt;=8,J290&gt;=15),"🔥 STEAL",IF(OR(H290&gt;=4,J290&gt;=7),"✅ VALUE",IF(OR(H290&gt;=1.5,J290&gt;=3),"👍 SLIGHT VALUE",IF(AND(H290&gt;-1.5,H290&lt;1.5,J290&gt;-3,J290&lt;3),"FAIR",IF(OR(H290&lt;=-5,J290&lt;=-10),"❌ AVOID","⚠️ REACH"))))))</x:f>
        <x:v>No Auction Value</x:v>
      </x:c>
      <x:c r="J290" s="28" t="str">
        <x:f t="shared" si="19">IF(F290="","",A290-F290)</x:f>
      </x:c>
    </x:row>
    <x:row r="291">
      <x:c r="A291">
        <x:v>290</x:v>
      </x:c>
      <x:c r="B291" t="s">
        <x:v>625</x:v>
      </x:c>
      <x:c r="C291" t="s">
        <x:v>626</x:v>
      </x:c>
      <x:c r="D291" t="s">
        <x:v>9</x:v>
      </x:c>
      <x:c r="E291" s="20"/>
      <x:c r="G291" s="27" t="n">
        <x:f t="shared" si="16">MAX(0,42.71-(0.42*A291))</x:f>
        <x:v>0</x:v>
      </x:c>
      <x:c r="H291" s="27" t="str">
        <x:f t="shared" si="17">IF(E291="","",E291-G291)</x:f>
      </x:c>
      <x:c r="I291" t="str">
        <x:f t="shared" si="18">IF(E291="","No Auction Value",IF(OR(H291&gt;=8,J291&gt;=15),"🔥 STEAL",IF(OR(H291&gt;=4,J291&gt;=7),"✅ VALUE",IF(OR(H291&gt;=1.5,J291&gt;=3),"👍 SLIGHT VALUE",IF(AND(H291&gt;-1.5,H291&lt;1.5,J291&gt;-3,J291&lt;3),"FAIR",IF(OR(H291&lt;=-5,J291&lt;=-10),"❌ AVOID","⚠️ REACH"))))))</x:f>
        <x:v>No Auction Value</x:v>
      </x:c>
      <x:c r="J291" s="28" t="str">
        <x:f t="shared" si="19">IF(F291="","",A291-F291)</x:f>
      </x:c>
    </x:row>
    <x:row r="292">
      <x:c r="A292">
        <x:v>291</x:v>
      </x:c>
      <x:c r="B292" t="s">
        <x:v>627</x:v>
      </x:c>
      <x:c r="C292" t="s">
        <x:v>628</x:v>
      </x:c>
      <x:c r="D292" t="s">
        <x:v>14</x:v>
      </x:c>
      <x:c r="E292" s="20"/>
      <x:c r="G292" s="27" t="n">
        <x:f t="shared" si="16">MAX(0,42.71-(0.42*A292))</x:f>
        <x:v>0</x:v>
      </x:c>
      <x:c r="H292" s="27" t="str">
        <x:f t="shared" si="17">IF(E292="","",E292-G292)</x:f>
      </x:c>
      <x:c r="I292" t="str">
        <x:f t="shared" si="18">IF(E292="","No Auction Value",IF(OR(H292&gt;=8,J292&gt;=15),"🔥 STEAL",IF(OR(H292&gt;=4,J292&gt;=7),"✅ VALUE",IF(OR(H292&gt;=1.5,J292&gt;=3),"👍 SLIGHT VALUE",IF(AND(H292&gt;-1.5,H292&lt;1.5,J292&gt;-3,J292&lt;3),"FAIR",IF(OR(H292&lt;=-5,J292&lt;=-10),"❌ AVOID","⚠️ REACH"))))))</x:f>
        <x:v>No Auction Value</x:v>
      </x:c>
      <x:c r="J292" s="28" t="str">
        <x:f t="shared" si="19">IF(F292="","",A292-F292)</x:f>
      </x:c>
    </x:row>
    <x:row r="293">
      <x:c r="A293">
        <x:v>292</x:v>
      </x:c>
      <x:c r="B293" t="s">
        <x:v>629</x:v>
      </x:c>
      <x:c r="C293" t="s">
        <x:v>630</x:v>
      </x:c>
      <x:c r="D293" t="s">
        <x:v>14</x:v>
      </x:c>
      <x:c r="E293" s="20"/>
      <x:c r="G293" s="27" t="n">
        <x:f t="shared" si="16">MAX(0,42.71-(0.42*A293))</x:f>
        <x:v>0</x:v>
      </x:c>
      <x:c r="H293" s="27" t="str">
        <x:f t="shared" si="17">IF(E293="","",E293-G293)</x:f>
      </x:c>
      <x:c r="I293" t="str">
        <x:f t="shared" si="18">IF(E293="","No Auction Value",IF(OR(H293&gt;=8,J293&gt;=15),"🔥 STEAL",IF(OR(H293&gt;=4,J293&gt;=7),"✅ VALUE",IF(OR(H293&gt;=1.5,J293&gt;=3),"👍 SLIGHT VALUE",IF(AND(H293&gt;-1.5,H293&lt;1.5,J293&gt;-3,J293&lt;3),"FAIR",IF(OR(H293&lt;=-5,J293&lt;=-10),"❌ AVOID","⚠️ REACH"))))))</x:f>
        <x:v>No Auction Value</x:v>
      </x:c>
      <x:c r="J293" s="28" t="str">
        <x:f t="shared" si="19">IF(F293="","",A293-F293)</x:f>
      </x:c>
    </x:row>
    <x:row r="294">
      <x:c r="A294">
        <x:v>293</x:v>
      </x:c>
      <x:c r="B294" t="s">
        <x:v>631</x:v>
      </x:c>
      <x:c r="C294" t="s">
        <x:v>632</x:v>
      </x:c>
      <x:c r="D294" t="s">
        <x:v>14</x:v>
      </x:c>
      <x:c r="E294" s="20"/>
      <x:c r="G294" s="27" t="n">
        <x:f t="shared" si="16">MAX(0,42.71-(0.42*A294))</x:f>
        <x:v>0</x:v>
      </x:c>
      <x:c r="H294" s="27" t="str">
        <x:f t="shared" si="17">IF(E294="","",E294-G294)</x:f>
      </x:c>
      <x:c r="I294" t="str">
        <x:f t="shared" si="18">IF(E294="","No Auction Value",IF(OR(H294&gt;=8,J294&gt;=15),"🔥 STEAL",IF(OR(H294&gt;=4,J294&gt;=7),"✅ VALUE",IF(OR(H294&gt;=1.5,J294&gt;=3),"👍 SLIGHT VALUE",IF(AND(H294&gt;-1.5,H294&lt;1.5,J294&gt;-3,J294&lt;3),"FAIR",IF(OR(H294&lt;=-5,J294&lt;=-10),"❌ AVOID","⚠️ REACH"))))))</x:f>
        <x:v>No Auction Value</x:v>
      </x:c>
      <x:c r="J294" s="28" t="str">
        <x:f t="shared" si="19">IF(F294="","",A294-F294)</x:f>
      </x:c>
    </x:row>
    <x:row r="295">
      <x:c r="A295">
        <x:v>294</x:v>
      </x:c>
      <x:c r="B295" t="s">
        <x:v>633</x:v>
      </x:c>
      <x:c r="C295" t="s">
        <x:v>634</x:v>
      </x:c>
      <x:c r="D295" t="s">
        <x:v>9</x:v>
      </x:c>
      <x:c r="E295" s="20"/>
      <x:c r="G295" s="27" t="n">
        <x:f t="shared" si="16">MAX(0,42.71-(0.42*A295))</x:f>
        <x:v>0</x:v>
      </x:c>
      <x:c r="H295" s="27" t="str">
        <x:f t="shared" si="17">IF(E295="","",E295-G295)</x:f>
      </x:c>
      <x:c r="I295" t="str">
        <x:f t="shared" si="18">IF(E295="","No Auction Value",IF(OR(H295&gt;=8,J295&gt;=15),"🔥 STEAL",IF(OR(H295&gt;=4,J295&gt;=7),"✅ VALUE",IF(OR(H295&gt;=1.5,J295&gt;=3),"👍 SLIGHT VALUE",IF(AND(H295&gt;-1.5,H295&lt;1.5,J295&gt;-3,J295&lt;3),"FAIR",IF(OR(H295&lt;=-5,J295&lt;=-10),"❌ AVOID","⚠️ REACH"))))))</x:f>
        <x:v>No Auction Value</x:v>
      </x:c>
      <x:c r="J295" s="28" t="str">
        <x:f t="shared" si="19">IF(F295="","",A295-F295)</x:f>
      </x:c>
    </x:row>
    <x:row r="296">
      <x:c r="A296">
        <x:v>295</x:v>
      </x:c>
      <x:c r="B296" t="s">
        <x:v>635</x:v>
      </x:c>
      <x:c r="C296" t="s">
        <x:v>636</x:v>
      </x:c>
      <x:c r="D296" t="s">
        <x:v>14</x:v>
      </x:c>
      <x:c r="E296" s="20"/>
      <x:c r="G296" s="27" t="n">
        <x:f t="shared" si="16">MAX(0,42.71-(0.42*A296))</x:f>
        <x:v>0</x:v>
      </x:c>
      <x:c r="H296" s="27" t="str">
        <x:f t="shared" si="17">IF(E296="","",E296-G296)</x:f>
      </x:c>
      <x:c r="I296" t="str">
        <x:f t="shared" si="18">IF(E296="","No Auction Value",IF(OR(H296&gt;=8,J296&gt;=15),"🔥 STEAL",IF(OR(H296&gt;=4,J296&gt;=7),"✅ VALUE",IF(OR(H296&gt;=1.5,J296&gt;=3),"👍 SLIGHT VALUE",IF(AND(H296&gt;-1.5,H296&lt;1.5,J296&gt;-3,J296&lt;3),"FAIR",IF(OR(H296&lt;=-5,J296&lt;=-10),"❌ AVOID","⚠️ REACH"))))))</x:f>
        <x:v>No Auction Value</x:v>
      </x:c>
      <x:c r="J296" s="28" t="str">
        <x:f t="shared" si="19">IF(F296="","",A296-F296)</x:f>
      </x:c>
    </x:row>
    <x:row r="297">
      <x:c r="A297">
        <x:v>296</x:v>
      </x:c>
      <x:c r="B297" t="s">
        <x:v>637</x:v>
      </x:c>
      <x:c r="C297" t="s">
        <x:v>638</x:v>
      </x:c>
      <x:c r="D297" t="s">
        <x:v>14</x:v>
      </x:c>
      <x:c r="E297" s="20"/>
      <x:c r="G297" s="27" t="n">
        <x:f t="shared" si="16">MAX(0,42.71-(0.42*A297))</x:f>
        <x:v>0</x:v>
      </x:c>
      <x:c r="H297" s="27" t="str">
        <x:f t="shared" si="17">IF(E297="","",E297-G297)</x:f>
      </x:c>
      <x:c r="I297" t="str">
        <x:f t="shared" si="18">IF(E297="","No Auction Value",IF(OR(H297&gt;=8,J297&gt;=15),"🔥 STEAL",IF(OR(H297&gt;=4,J297&gt;=7),"✅ VALUE",IF(OR(H297&gt;=1.5,J297&gt;=3),"👍 SLIGHT VALUE",IF(AND(H297&gt;-1.5,H297&lt;1.5,J297&gt;-3,J297&lt;3),"FAIR",IF(OR(H297&lt;=-5,J297&lt;=-10),"❌ AVOID","⚠️ REACH"))))))</x:f>
        <x:v>No Auction Value</x:v>
      </x:c>
      <x:c r="J297" s="28" t="str">
        <x:f t="shared" si="19">IF(F297="","",A297-F297)</x:f>
      </x:c>
    </x:row>
    <x:row r="298">
      <x:c r="A298">
        <x:v>297</x:v>
      </x:c>
      <x:c r="B298" t="s">
        <x:v>639</x:v>
      </x:c>
      <x:c r="C298" t="s">
        <x:v>640</x:v>
      </x:c>
      <x:c r="D298" t="s">
        <x:v>9</x:v>
      </x:c>
      <x:c r="E298" s="20"/>
      <x:c r="G298" s="27" t="n">
        <x:f t="shared" si="16">MAX(0,42.71-(0.42*A298))</x:f>
        <x:v>0</x:v>
      </x:c>
      <x:c r="H298" s="27" t="str">
        <x:f t="shared" si="17">IF(E298="","",E298-G298)</x:f>
      </x:c>
      <x:c r="I298" t="str">
        <x:f t="shared" si="18">IF(E298="","No Auction Value",IF(OR(H298&gt;=8,J298&gt;=15),"🔥 STEAL",IF(OR(H298&gt;=4,J298&gt;=7),"✅ VALUE",IF(OR(H298&gt;=1.5,J298&gt;=3),"👍 SLIGHT VALUE",IF(AND(H298&gt;-1.5,H298&lt;1.5,J298&gt;-3,J298&lt;3),"FAIR",IF(OR(H298&lt;=-5,J298&lt;=-10),"❌ AVOID","⚠️ REACH"))))))</x:f>
        <x:v>No Auction Value</x:v>
      </x:c>
      <x:c r="J298" s="28" t="str">
        <x:f t="shared" si="19">IF(F298="","",A298-F298)</x:f>
      </x:c>
    </x:row>
    <x:row r="299">
      <x:c r="A299">
        <x:v>298</x:v>
      </x:c>
      <x:c r="B299" t="s">
        <x:v>641</x:v>
      </x:c>
      <x:c r="C299" t="s">
        <x:v>642</x:v>
      </x:c>
      <x:c r="D299" t="s">
        <x:v>65</x:v>
      </x:c>
      <x:c r="E299" s="20"/>
      <x:c r="G299" s="27" t="n">
        <x:f t="shared" si="16">MAX(0,42.71-(0.42*A299))</x:f>
        <x:v>0</x:v>
      </x:c>
      <x:c r="H299" s="27" t="str">
        <x:f t="shared" si="17">IF(E299="","",E299-G299)</x:f>
      </x:c>
      <x:c r="I299" t="str">
        <x:f t="shared" si="18">IF(E299="","No Auction Value",IF(OR(H299&gt;=8,J299&gt;=15),"🔥 STEAL",IF(OR(H299&gt;=4,J299&gt;=7),"✅ VALUE",IF(OR(H299&gt;=1.5,J299&gt;=3),"👍 SLIGHT VALUE",IF(AND(H299&gt;-1.5,H299&lt;1.5,J299&gt;-3,J299&lt;3),"FAIR",IF(OR(H299&lt;=-5,J299&lt;=-10),"❌ AVOID","⚠️ REACH"))))))</x:f>
        <x:v>No Auction Value</x:v>
      </x:c>
      <x:c r="J299" s="28" t="str">
        <x:f t="shared" si="19">IF(F299="","",A299-F299)</x:f>
      </x:c>
    </x:row>
    <x:row r="300">
      <x:c r="A300">
        <x:v>299</x:v>
      </x:c>
      <x:c r="B300" t="s">
        <x:v>643</x:v>
      </x:c>
      <x:c r="C300" t="s">
        <x:v>644</x:v>
      </x:c>
      <x:c r="D300" t="s">
        <x:v>9</x:v>
      </x:c>
      <x:c r="E300" s="20">
        <x:v>0</x:v>
      </x:c>
      <x:c r="F300">
        <x:v>180</x:v>
      </x:c>
      <x:c r="G300" s="27" t="n">
        <x:f t="shared" si="16">MAX(0,42.71-(0.42*A300))</x:f>
        <x:v>0</x:v>
      </x:c>
      <x:c r="H300" s="27" t="str">
        <x:f t="shared" si="17">IF(E300="","",E300-G300)</x:f>
      </x:c>
      <x:c r="I300" t="str">
        <x:f t="shared" si="18">IF(E300="","No Auction Value",IF(OR(H300&gt;=8,J300&gt;=15),"🔥 STEAL",IF(OR(H300&gt;=4,J300&gt;=7),"✅ VALUE",IF(OR(H300&gt;=1.5,J300&gt;=3),"👍 SLIGHT VALUE",IF(AND(H300&gt;-1.5,H300&lt;1.5,J300&gt;-3,J300&lt;3),"FAIR",IF(OR(H300&lt;=-5,J300&lt;=-10),"❌ AVOID","⚠️ REACH"))))))</x:f>
        <x:v>No Auction Value</x:v>
      </x:c>
      <x:c r="J300" s="28" t="n">
        <x:f t="shared" si="19">IF(F300="","",A300-F300)</x:f>
        <x:v>119</x:v>
      </x:c>
    </x:row>
    <x:row r="301">
      <x:c r="A301">
        <x:v>300</x:v>
      </x:c>
      <x:c r="B301" t="s">
        <x:v>645</x:v>
      </x:c>
      <x:c r="C301" t="s">
        <x:v>646</x:v>
      </x:c>
      <x:c r="D301" t="s">
        <x:v>9</x:v>
      </x:c>
      <x:c r="E301" s="20">
        <x:v>0</x:v>
      </x:c>
      <x:c r="F301">
        <x:v>180</x:v>
      </x:c>
      <x:c r="G301" s="27" t="n">
        <x:f t="shared" si="16">MAX(0,42.71-(0.42*A301))</x:f>
        <x:v>0</x:v>
      </x:c>
      <x:c r="H301" s="27" t="str">
        <x:f t="shared" si="17">IF(E301="","",E301-G301)</x:f>
      </x:c>
      <x:c r="I301" t="str">
        <x:f t="shared" si="18">IF(E301="","No Auction Value",IF(OR(H301&gt;=8,J301&gt;=15),"🔥 STEAL",IF(OR(H301&gt;=4,J301&gt;=7),"✅ VALUE",IF(OR(H301&gt;=1.5,J301&gt;=3),"👍 SLIGHT VALUE",IF(AND(H301&gt;-1.5,H301&lt;1.5,J301&gt;-3,J301&lt;3),"FAIR",IF(OR(H301&lt;=-5,J301&lt;=-10),"❌ AVOID","⚠️ REACH"))))))</x:f>
        <x:v>No Auction Value</x:v>
      </x:c>
      <x:c r="J301" s="28" t="n">
        <x:f t="shared" si="19">IF(F301="","",A301-F301)</x:f>
        <x:v>120</x:v>
      </x:c>
    </x:row>
  </x:sheetData>
  <x:mergeCells>
    <x:mergeCell ref="L1:N1"/>
  </x:mergeCells>
  <x:conditionalFormatting sqref="H2:H22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H2:H301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J2:J301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b5248f159eb44fe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10" hidden="0" customWidth="1"/>
    <x:col min="2" max="2" width="24" hidden="0" customWidth="1"/>
    <x:col min="3" max="8" width="13" customWidth="1"/>
    <x:col min="3" max="3" width="10" hidden="0" customWidth="1"/>
    <x:col min="4" max="4" width="8" hidden="0" customWidth="1"/>
    <x:col min="5" max="5" width="14" hidden="0" customWidth="1"/>
    <x:col min="6" max="6" width="11" hidden="0" customWidth="1"/>
    <x:col min="7" max="7" width="13" hidden="0" customWidth="1"/>
    <x:col min="8" max="8" width="17" hidden="0" customWidth="1"/>
    <x:col min="9" max="9" width="14" hidden="0" customWidth="1"/>
    <x:col min="10" max="10" width="17" hidden="0" customWidth="1"/>
    <x:col min="11" max="11" width="12" hidden="0" customWidth="1"/>
    <x:col min="12" max="12" width="18" hidden="0" customWidth="1"/>
  </x:cols>
  <x:sheetData>
    <x:row r="1" ht="15">
      <x:c r="A1" s="29" t="str">
        <x:v>Value Rank</x:v>
      </x:c>
      <x:c r="B1" s="29" t="str">
        <x:v>Player</x:v>
      </x:c>
      <x:c r="C1" s="29" t="str">
        <x:v>POS Rank</x:v>
      </x:c>
      <x:c r="D1" s="29" t="str">
        <x:v>Pos</x:v>
      </x:c>
      <x:c r="E1" s="29" t="str">
        <x:v>DK Draft Rank</x:v>
      </x:c>
      <x:c r="F1" s="29" t="str">
        <x:v>Auction $</x:v>
      </x:c>
      <x:c r="G1" s="29" t="str">
        <x:v>Auction Rank</x:v>
      </x:c>
      <x:c r="H1" s="29" t="str">
        <x:v>Expected $ at Pick</x:v>
      </x:c>
      <x:c r="I1" s="29" t="str">
        <x:v>Auction $ Edge</x:v>
      </x:c>
      <x:c r="J1" s="29" t="str">
        <x:v>Auction Rank Edge</x:v>
      </x:c>
      <x:c r="K1" s="29" t="str">
        <x:v>Value Score</x:v>
      </x:c>
      <x:c r="L1" s="29" t="str">
        <x:v>Verdict</x:v>
      </x:c>
    </x:row>
    <x:row r="2">
      <x:c r="A2" t="n">
        <x:v>1</x:v>
      </x:c>
      <x:c r="B2" t="str">
        <x:v>Harold Fannin Jr.</x:v>
      </x:c>
      <x:c r="C2" t="str">
        <x:v>TE7</x:v>
      </x:c>
      <x:c r="D2" t="str">
        <x:v>TE</x:v>
      </x:c>
      <x:c r="E2" s="20" t="n">
        <x:v>100</x:v>
      </x:c>
      <x:c r="F2" s="20" t="n">
        <x:v>15</x:v>
      </x:c>
      <x:c r="G2" t="n">
        <x:v>54</x:v>
      </x:c>
      <x:c r="H2" s="27" t="n">
        <x:v>0.71</x:v>
      </x:c>
      <x:c r="I2" s="27" t="n">
        <x:v>14.29</x:v>
      </x:c>
      <x:c r="J2" s="28" t="n">
        <x:v>46</x:v>
      </x:c>
      <x:c r="K2" s="35" t="n">
        <x:v>23.49</x:v>
      </x:c>
      <x:c r="L2" t="str">
        <x:v>🔥 STEAL</x:v>
      </x:c>
    </x:row>
    <x:row r="3">
      <x:c r="A3" t="n">
        <x:v>2</x:v>
      </x:c>
      <x:c r="B3" t="str">
        <x:v>Alvin Kamara</x:v>
      </x:c>
      <x:c r="C3" t="str">
        <x:v>RB72</x:v>
      </x:c>
      <x:c r="D3" t="str">
        <x:v>RB</x:v>
      </x:c>
      <x:c r="E3" s="20" t="n">
        <x:v>223</x:v>
      </x:c>
      <x:c r="F3" s="20" t="n">
        <x:v>3</x:v>
      </x:c>
      <x:c r="G3" t="n">
        <x:v>127</x:v>
      </x:c>
      <x:c r="H3" s="27" t="n">
        <x:v>0</x:v>
      </x:c>
      <x:c r="I3" s="27" t="n">
        <x:v>3</x:v>
      </x:c>
      <x:c r="J3" s="28" t="n">
        <x:v>96</x:v>
      </x:c>
      <x:c r="K3" s="35" t="n">
        <x:v>22.2</x:v>
      </x:c>
      <x:c r="L3" t="str">
        <x:v>🔥 STEAL</x:v>
      </x:c>
    </x:row>
    <x:row r="4">
      <x:c r="A4" t="n">
        <x:v>3</x:v>
      </x:c>
      <x:c r="B4" t="str">
        <x:v>Ty Johnson</x:v>
      </x:c>
      <x:c r="C4" t="str">
        <x:v>RB75</x:v>
      </x:c>
      <x:c r="D4" t="str">
        <x:v>RB</x:v>
      </x:c>
      <x:c r="E4" s="20" t="n">
        <x:v>235</x:v>
      </x:c>
      <x:c r="F4" s="20" t="n">
        <x:v>2</x:v>
      </x:c>
      <x:c r="G4" t="n">
        <x:v>136</x:v>
      </x:c>
      <x:c r="H4" s="27" t="n">
        <x:v>0</x:v>
      </x:c>
      <x:c r="I4" s="27" t="n">
        <x:v>2</x:v>
      </x:c>
      <x:c r="J4" s="28" t="n">
        <x:v>99</x:v>
      </x:c>
      <x:c r="K4" s="35" t="n">
        <x:v>21.8</x:v>
      </x:c>
      <x:c r="L4" t="str">
        <x:v>🔥 STEAL</x:v>
      </x:c>
    </x:row>
    <x:row r="5">
      <x:c r="A5" t="n">
        <x:v>4</x:v>
      </x:c>
      <x:c r="B5" t="str">
        <x:v>Jahmyr Gibbs</x:v>
      </x:c>
      <x:c r="C5" t="str">
        <x:v>RB1</x:v>
      </x:c>
      <x:c r="D5" t="str">
        <x:v>RB</x:v>
      </x:c>
      <x:c r="E5" s="20" t="n">
        <x:v>1</x:v>
      </x:c>
      <x:c r="F5" s="20" t="n">
        <x:v>64</x:v>
      </x:c>
      <x:c r="G5" t="n">
        <x:v>1</x:v>
      </x:c>
      <x:c r="H5" s="27" t="n">
        <x:v>42.29</x:v>
      </x:c>
      <x:c r="I5" s="27" t="n">
        <x:v>21.71</x:v>
      </x:c>
      <x:c r="J5" s="28" t="n">
        <x:v>0</x:v>
      </x:c>
      <x:c r="K5" s="35" t="n">
        <x:v>21.71</x:v>
      </x:c>
      <x:c r="L5" t="str">
        <x:v>🔥 STEAL</x:v>
      </x:c>
    </x:row>
    <x:row r="6">
      <x:c r="A6" t="n">
        <x:v>5</x:v>
      </x:c>
      <x:c r="B6" t="str">
        <x:v>Alec Pierce</x:v>
      </x:c>
      <x:c r="C6" t="str">
        <x:v>WR46</x:v>
      </x:c>
      <x:c r="D6" t="str">
        <x:v>WR</x:v>
      </x:c>
      <x:c r="E6" s="20" t="n">
        <x:v>109</x:v>
      </x:c>
      <x:c r="F6" s="20" t="n">
        <x:v>12</x:v>
      </x:c>
      <x:c r="G6" t="n">
        <x:v>67</x:v>
      </x:c>
      <x:c r="H6" s="27" t="n">
        <x:v>0</x:v>
      </x:c>
      <x:c r="I6" s="27" t="n">
        <x:v>12</x:v>
      </x:c>
      <x:c r="J6" s="28" t="n">
        <x:v>42</x:v>
      </x:c>
      <x:c r="K6" s="35" t="n">
        <x:v>20.4</x:v>
      </x:c>
      <x:c r="L6" t="str">
        <x:v>🔥 STEAL</x:v>
      </x:c>
    </x:row>
    <x:row r="7">
      <x:c r="A7" t="n">
        <x:v>6</x:v>
      </x:c>
      <x:c r="B7" t="str">
        <x:v>Sam LaPorta</x:v>
      </x:c>
      <x:c r="C7" t="str">
        <x:v>TE12</x:v>
      </x:c>
      <x:c r="D7" t="str">
        <x:v>TE</x:v>
      </x:c>
      <x:c r="E7" s="20" t="n">
        <x:v>128</x:v>
      </x:c>
      <x:c r="F7" s="20" t="n">
        <x:v>10</x:v>
      </x:c>
      <x:c r="G7" t="n">
        <x:v>76</x:v>
      </x:c>
      <x:c r="H7" s="27" t="n">
        <x:v>0</x:v>
      </x:c>
      <x:c r="I7" s="27" t="n">
        <x:v>10</x:v>
      </x:c>
      <x:c r="J7" s="28" t="n">
        <x:v>52</x:v>
      </x:c>
      <x:c r="K7" s="35" t="n">
        <x:v>20.4</x:v>
      </x:c>
      <x:c r="L7" t="str">
        <x:v>🔥 STEAL</x:v>
      </x:c>
    </x:row>
    <x:row r="8">
      <x:c r="A8" t="n">
        <x:v>7</x:v>
      </x:c>
      <x:c r="B8" t="str">
        <x:v>Travis Kelce</x:v>
      </x:c>
      <x:c r="C8" t="str">
        <x:v>TE10</x:v>
      </x:c>
      <x:c r="D8" t="str">
        <x:v>TE</x:v>
      </x:c>
      <x:c r="E8" s="20" t="n">
        <x:v>120</x:v>
      </x:c>
      <x:c r="F8" s="20" t="n">
        <x:v>10</x:v>
      </x:c>
      <x:c r="G8" t="n">
        <x:v>76</x:v>
      </x:c>
      <x:c r="H8" s="27" t="n">
        <x:v>0</x:v>
      </x:c>
      <x:c r="I8" s="27" t="n">
        <x:v>10</x:v>
      </x:c>
      <x:c r="J8" s="28" t="n">
        <x:v>44</x:v>
      </x:c>
      <x:c r="K8" s="35" t="n">
        <x:v>18.8</x:v>
      </x:c>
      <x:c r="L8" t="str">
        <x:v>🔥 STEAL</x:v>
      </x:c>
    </x:row>
    <x:row r="9">
      <x:c r="A9" t="n">
        <x:v>8</x:v>
      </x:c>
      <x:c r="B9" t="str">
        <x:v>Puka Nacua</x:v>
      </x:c>
      <x:c r="C9" t="str">
        <x:v>WR2</x:v>
      </x:c>
      <x:c r="D9" t="str">
        <x:v>WR</x:v>
      </x:c>
      <x:c r="E9" s="20" t="n">
        <x:v>3</x:v>
      </x:c>
      <x:c r="F9" s="20" t="n">
        <x:v>60</x:v>
      </x:c>
      <x:c r="G9" t="n">
        <x:v>2</x:v>
      </x:c>
      <x:c r="H9" s="27" t="n">
        <x:v>41.45</x:v>
      </x:c>
      <x:c r="I9" s="27" t="n">
        <x:v>18.55</x:v>
      </x:c>
      <x:c r="J9" s="28" t="n">
        <x:v>1</x:v>
      </x:c>
      <x:c r="K9" s="35" t="n">
        <x:v>18.75</x:v>
      </x:c>
      <x:c r="L9" t="str">
        <x:v>🔥 STEAL</x:v>
      </x:c>
    </x:row>
    <x:row r="10">
      <x:c r="A10" t="n">
        <x:v>9</x:v>
      </x:c>
      <x:c r="B10" t="str">
        <x:v>George Kittle</x:v>
      </x:c>
      <x:c r="C10" t="str">
        <x:v>TE8</x:v>
      </x:c>
      <x:c r="D10" t="str">
        <x:v>TE</x:v>
      </x:c>
      <x:c r="E10" s="20" t="n">
        <x:v>110</x:v>
      </x:c>
      <x:c r="F10" s="20" t="n">
        <x:v>11</x:v>
      </x:c>
      <x:c r="G10" t="n">
        <x:v>72</x:v>
      </x:c>
      <x:c r="H10" s="27" t="n">
        <x:v>0</x:v>
      </x:c>
      <x:c r="I10" s="27" t="n">
        <x:v>11</x:v>
      </x:c>
      <x:c r="J10" s="28" t="n">
        <x:v>38</x:v>
      </x:c>
      <x:c r="K10" s="35" t="n">
        <x:v>18.6</x:v>
      </x:c>
      <x:c r="L10" t="str">
        <x:v>🔥 STEAL</x:v>
      </x:c>
    </x:row>
    <x:row r="11">
      <x:c r="A11" t="n">
        <x:v>10</x:v>
      </x:c>
      <x:c r="B11" t="str">
        <x:v>Aaron Jones Sr.</x:v>
      </x:c>
      <x:c r="C11" t="str">
        <x:v>RB43</x:v>
      </x:c>
      <x:c r="D11" t="str">
        <x:v>RB</x:v>
      </x:c>
      <x:c r="E11" s="20" t="n">
        <x:v>134</x:v>
      </x:c>
      <x:c r="F11" s="20" t="n">
        <x:v>8</x:v>
      </x:c>
      <x:c r="G11" t="n">
        <x:v>84</x:v>
      </x:c>
      <x:c r="H11" s="27" t="n">
        <x:v>0</x:v>
      </x:c>
      <x:c r="I11" s="27" t="n">
        <x:v>8</x:v>
      </x:c>
      <x:c r="J11" s="28" t="n">
        <x:v>50</x:v>
      </x:c>
      <x:c r="K11" s="35" t="n">
        <x:v>18</x:v>
      </x:c>
      <x:c r="L11" t="str">
        <x:v>🔥 STEAL</x:v>
      </x:c>
    </x:row>
    <x:row r="12">
      <x:c r="A12" t="n">
        <x:v>11</x:v>
      </x:c>
      <x:c r="B12" t="str">
        <x:v>Dallas Goedert</x:v>
      </x:c>
      <x:c r="C12" t="str">
        <x:v>TE11</x:v>
      </x:c>
      <x:c r="D12" t="str">
        <x:v>TE</x:v>
      </x:c>
      <x:c r="E12" s="20" t="n">
        <x:v>123</x:v>
      </x:c>
      <x:c r="F12" s="20" t="n">
        <x:v>9</x:v>
      </x:c>
      <x:c r="G12" t="n">
        <x:v>81</x:v>
      </x:c>
      <x:c r="H12" s="27" t="n">
        <x:v>0</x:v>
      </x:c>
      <x:c r="I12" s="27" t="n">
        <x:v>9</x:v>
      </x:c>
      <x:c r="J12" s="28" t="n">
        <x:v>42</x:v>
      </x:c>
      <x:c r="K12" s="35" t="n">
        <x:v>17.4</x:v>
      </x:c>
      <x:c r="L12" t="str">
        <x:v>🔥 STEAL</x:v>
      </x:c>
    </x:row>
    <x:row r="13">
      <x:c r="A13" t="n">
        <x:v>12</x:v>
      </x:c>
      <x:c r="B13" t="str">
        <x:v>Mike Washington Jr.</x:v>
      </x:c>
      <x:c r="C13" t="str">
        <x:v>RB66</x:v>
      </x:c>
      <x:c r="D13" t="str">
        <x:v>RB</x:v>
      </x:c>
      <x:c r="E13" s="20" t="n">
        <x:v>213</x:v>
      </x:c>
      <x:c r="F13" s="20" t="n">
        <x:v>2</x:v>
      </x:c>
      <x:c r="G13" t="n">
        <x:v>136</x:v>
      </x:c>
      <x:c r="H13" s="27" t="n">
        <x:v>0</x:v>
      </x:c>
      <x:c r="I13" s="27" t="n">
        <x:v>2</x:v>
      </x:c>
      <x:c r="J13" s="28" t="n">
        <x:v>77</x:v>
      </x:c>
      <x:c r="K13" s="35" t="n">
        <x:v>17.4</x:v>
      </x:c>
      <x:c r="L13" t="str">
        <x:v>🔥 STEAL</x:v>
      </x:c>
    </x:row>
    <x:row r="14">
      <x:c r="A14" t="n">
        <x:v>13</x:v>
      </x:c>
      <x:c r="B14" t="str">
        <x:v>Bijan Robinson</x:v>
      </x:c>
      <x:c r="C14" t="str">
        <x:v>RB2</x:v>
      </x:c>
      <x:c r="D14" t="str">
        <x:v>RB</x:v>
      </x:c>
      <x:c r="E14" s="20" t="n">
        <x:v>4</x:v>
      </x:c>
      <x:c r="F14" s="20" t="n">
        <x:v>58</x:v>
      </x:c>
      <x:c r="G14" t="n">
        <x:v>4</x:v>
      </x:c>
      <x:c r="H14" s="27" t="n">
        <x:v>41.03</x:v>
      </x:c>
      <x:c r="I14" s="27" t="n">
        <x:v>16.97</x:v>
      </x:c>
      <x:c r="J14" s="28" t="n">
        <x:v>0</x:v>
      </x:c>
      <x:c r="K14" s="35" t="n">
        <x:v>16.97</x:v>
      </x:c>
      <x:c r="L14" t="str">
        <x:v>🔥 STEAL</x:v>
      </x:c>
    </x:row>
    <x:row r="15">
      <x:c r="A15" t="n">
        <x:v>14</x:v>
      </x:c>
      <x:c r="B15" t="str">
        <x:v>Ja'Marr Chase</x:v>
      </x:c>
      <x:c r="C15" t="str">
        <x:v>WR1</x:v>
      </x:c>
      <x:c r="D15" t="str">
        <x:v>WR</x:v>
      </x:c>
      <x:c r="E15" s="20" t="n">
        <x:v>2</x:v>
      </x:c>
      <x:c r="F15" s="20" t="n">
        <x:v>59</x:v>
      </x:c>
      <x:c r="G15" t="n">
        <x:v>3</x:v>
      </x:c>
      <x:c r="H15" s="27" t="n">
        <x:v>41.87</x:v>
      </x:c>
      <x:c r="I15" s="27" t="n">
        <x:v>17.13</x:v>
      </x:c>
      <x:c r="J15" s="28" t="n">
        <x:v>-1</x:v>
      </x:c>
      <x:c r="K15" s="35" t="n">
        <x:v>16.93</x:v>
      </x:c>
      <x:c r="L15" t="str">
        <x:v>🔥 STEAL</x:v>
      </x:c>
    </x:row>
    <x:row r="16">
      <x:c r="A16" t="n">
        <x:v>15</x:v>
      </x:c>
      <x:c r="B16" t="str">
        <x:v>Courtland Sutton</x:v>
      </x:c>
      <x:c r="C16" t="str">
        <x:v>WR40</x:v>
      </x:c>
      <x:c r="D16" t="str">
        <x:v>WR</x:v>
      </x:c>
      <x:c r="E16" s="20" t="n">
        <x:v>92</x:v>
      </x:c>
      <x:c r="F16" s="20" t="n">
        <x:v>14</x:v>
      </x:c>
      <x:c r="G16" t="n">
        <x:v>57</x:v>
      </x:c>
      <x:c r="H16" s="27" t="n">
        <x:v>4.07</x:v>
      </x:c>
      <x:c r="I16" s="27" t="n">
        <x:v>9.93</x:v>
      </x:c>
      <x:c r="J16" s="28" t="n">
        <x:v>35</x:v>
      </x:c>
      <x:c r="K16" s="35" t="n">
        <x:v>16.93</x:v>
      </x:c>
      <x:c r="L16" t="str">
        <x:v>🔥 STEAL</x:v>
      </x:c>
    </x:row>
    <x:row r="17">
      <x:c r="A17" t="n">
        <x:v>16</x:v>
      </x:c>
      <x:c r="B17" t="str">
        <x:v>Rachaad White</x:v>
      </x:c>
      <x:c r="C17" t="str">
        <x:v>RB41</x:v>
      </x:c>
      <x:c r="D17" t="str">
        <x:v>RB</x:v>
      </x:c>
      <x:c r="E17" s="20" t="n">
        <x:v>124</x:v>
      </x:c>
      <x:c r="F17" s="20" t="n">
        <x:v>8</x:v>
      </x:c>
      <x:c r="G17" t="n">
        <x:v>84</x:v>
      </x:c>
      <x:c r="H17" s="27" t="n">
        <x:v>0</x:v>
      </x:c>
      <x:c r="I17" s="27" t="n">
        <x:v>8</x:v>
      </x:c>
      <x:c r="J17" s="28" t="n">
        <x:v>40</x:v>
      </x:c>
      <x:c r="K17" s="35" t="n">
        <x:v>16</x:v>
      </x:c>
      <x:c r="L17" t="str">
        <x:v>🔥 STEAL</x:v>
      </x:c>
    </x:row>
    <x:row r="18">
      <x:c r="A18" t="n">
        <x:v>17</x:v>
      </x:c>
      <x:c r="B18" t="str">
        <x:v>Tyjae Spears</x:v>
      </x:c>
      <x:c r="C18" t="str">
        <x:v>RB46</x:v>
      </x:c>
      <x:c r="D18" t="str">
        <x:v>RB</x:v>
      </x:c>
      <x:c r="E18" s="20" t="n">
        <x:v>151</x:v>
      </x:c>
      <x:c r="F18" s="20" t="n">
        <x:v>6</x:v>
      </x:c>
      <x:c r="G18" t="n">
        <x:v>102</x:v>
      </x:c>
      <x:c r="H18" s="27" t="n">
        <x:v>0</x:v>
      </x:c>
      <x:c r="I18" s="27" t="n">
        <x:v>6</x:v>
      </x:c>
      <x:c r="J18" s="28" t="n">
        <x:v>49</x:v>
      </x:c>
      <x:c r="K18" s="35" t="n">
        <x:v>15.8</x:v>
      </x:c>
      <x:c r="L18" t="str">
        <x:v>🔥 STEAL</x:v>
      </x:c>
    </x:row>
    <x:row r="19">
      <x:c r="A19" t="n">
        <x:v>18</x:v>
      </x:c>
      <x:c r="B19" t="str">
        <x:v>J.K. Dobbins</x:v>
      </x:c>
      <x:c r="C19" t="str">
        <x:v>RB38</x:v>
      </x:c>
      <x:c r="D19" t="str">
        <x:v>RB</x:v>
      </x:c>
      <x:c r="E19" s="20" t="n">
        <x:v>103</x:v>
      </x:c>
      <x:c r="F19" s="20" t="n">
        <x:v>10</x:v>
      </x:c>
      <x:c r="G19" t="n">
        <x:v>76</x:v>
      </x:c>
      <x:c r="H19" s="27" t="n">
        <x:v>0</x:v>
      </x:c>
      <x:c r="I19" s="27" t="n">
        <x:v>10</x:v>
      </x:c>
      <x:c r="J19" s="28" t="n">
        <x:v>27</x:v>
      </x:c>
      <x:c r="K19" s="35" t="n">
        <x:v>15.4</x:v>
      </x:c>
      <x:c r="L19" t="str">
        <x:v>🔥 STEAL</x:v>
      </x:c>
    </x:row>
    <x:row r="20">
      <x:c r="A20" t="n">
        <x:v>19</x:v>
      </x:c>
      <x:c r="B20" t="str">
        <x:v>Jaxon Smith-Njigba</x:v>
      </x:c>
      <x:c r="C20" t="str">
        <x:v>WR3</x:v>
      </x:c>
      <x:c r="D20" t="str">
        <x:v>WR</x:v>
      </x:c>
      <x:c r="E20" s="20" t="n">
        <x:v>5</x:v>
      </x:c>
      <x:c r="F20" s="20" t="n">
        <x:v>56</x:v>
      </x:c>
      <x:c r="G20" t="n">
        <x:v>5</x:v>
      </x:c>
      <x:c r="H20" s="27" t="n">
        <x:v>40.61</x:v>
      </x:c>
      <x:c r="I20" s="27" t="n">
        <x:v>15.39</x:v>
      </x:c>
      <x:c r="J20" s="28" t="n">
        <x:v>0</x:v>
      </x:c>
      <x:c r="K20" s="35" t="n">
        <x:v>15.39</x:v>
      </x:c>
      <x:c r="L20" t="str">
        <x:v>🔥 STEAL</x:v>
      </x:c>
    </x:row>
    <x:row r="21">
      <x:c r="A21" t="n">
        <x:v>20</x:v>
      </x:c>
      <x:c r="B21" t="str">
        <x:v>Michael Pittman Jr.</x:v>
      </x:c>
      <x:c r="C21" t="str">
        <x:v>WR42</x:v>
      </x:c>
      <x:c r="D21" t="str">
        <x:v>WR</x:v>
      </x:c>
      <x:c r="E21" s="20" t="n">
        <x:v>98</x:v>
      </x:c>
      <x:c r="F21" s="20" t="n">
        <x:v>11</x:v>
      </x:c>
      <x:c r="G21" t="n">
        <x:v>72</x:v>
      </x:c>
      <x:c r="H21" s="27" t="n">
        <x:v>1.55</x:v>
      </x:c>
      <x:c r="I21" s="27" t="n">
        <x:v>9.45</x:v>
      </x:c>
      <x:c r="J21" s="28" t="n">
        <x:v>26</x:v>
      </x:c>
      <x:c r="K21" s="35" t="n">
        <x:v>14.65</x:v>
      </x:c>
      <x:c r="L21" t="str">
        <x:v>🔥 STEAL</x:v>
      </x:c>
    </x:row>
    <x:row r="22">
      <x:c r="A22" t="n">
        <x:v>21</x:v>
      </x:c>
      <x:c r="B22" t="str">
        <x:v>Amon-Ra St. Brown</x:v>
      </x:c>
      <x:c r="C22" t="str">
        <x:v>WR4</x:v>
      </x:c>
      <x:c r="D22" t="str">
        <x:v>WR</x:v>
      </x:c>
      <x:c r="E22" s="20" t="n">
        <x:v>7</x:v>
      </x:c>
      <x:c r="F22" s="20" t="n">
        <x:v>54</x:v>
      </x:c>
      <x:c r="G22" t="n">
        <x:v>6</x:v>
      </x:c>
      <x:c r="H22" s="27" t="n">
        <x:v>39.77</x:v>
      </x:c>
      <x:c r="I22" s="27" t="n">
        <x:v>14.23</x:v>
      </x:c>
      <x:c r="J22" s="28" t="n">
        <x:v>1</x:v>
      </x:c>
      <x:c r="K22" s="35" t="n">
        <x:v>14.43</x:v>
      </x:c>
      <x:c r="L22" t="str">
        <x:v>🔥 STEAL</x:v>
      </x:c>
    </x:row>
    <x:row r="23">
      <x:c r="A23" t="n">
        <x:v>22</x:v>
      </x:c>
      <x:c r="B23" t="str">
        <x:v>Justice Hill</x:v>
      </x:c>
      <x:c r="C23" t="str">
        <x:v>RB55</x:v>
      </x:c>
      <x:c r="D23" t="str">
        <x:v>RB</x:v>
      </x:c>
      <x:c r="E23" s="20" t="n">
        <x:v>184</x:v>
      </x:c>
      <x:c r="F23" s="20" t="n">
        <x:v>3</x:v>
      </x:c>
      <x:c r="G23" t="n">
        <x:v>127</x:v>
      </x:c>
      <x:c r="H23" s="27" t="n">
        <x:v>0</x:v>
      </x:c>
      <x:c r="I23" s="27" t="n">
        <x:v>3</x:v>
      </x:c>
      <x:c r="J23" s="28" t="n">
        <x:v>57</x:v>
      </x:c>
      <x:c r="K23" s="35" t="n">
        <x:v>14.4</x:v>
      </x:c>
      <x:c r="L23" t="str">
        <x:v>🔥 STEAL</x:v>
      </x:c>
    </x:row>
    <x:row r="24">
      <x:c r="A24" t="n">
        <x:v>23</x:v>
      </x:c>
      <x:c r="B24" t="str">
        <x:v>Zach Charbonnet</x:v>
      </x:c>
      <x:c r="C24" t="str">
        <x:v>RB53</x:v>
      </x:c>
      <x:c r="D24" t="str">
        <x:v>RB</x:v>
      </x:c>
      <x:c r="E24" s="20" t="n">
        <x:v>168</x:v>
      </x:c>
      <x:c r="F24" s="20" t="n">
        <x:v>4</x:v>
      </x:c>
      <x:c r="G24" t="n">
        <x:v>118</x:v>
      </x:c>
      <x:c r="H24" s="27" t="n">
        <x:v>0</x:v>
      </x:c>
      <x:c r="I24" s="27" t="n">
        <x:v>4</x:v>
      </x:c>
      <x:c r="J24" s="28" t="n">
        <x:v>50</x:v>
      </x:c>
      <x:c r="K24" s="35" t="n">
        <x:v>14</x:v>
      </x:c>
      <x:c r="L24" t="str">
        <x:v>🔥 STEAL</x:v>
      </x:c>
    </x:row>
    <x:row r="25">
      <x:c r="A25" t="n">
        <x:v>24</x:v>
      </x:c>
      <x:c r="B25" t="str">
        <x:v>Braelon Allen</x:v>
      </x:c>
      <x:c r="C25" t="str">
        <x:v>RB60</x:v>
      </x:c>
      <x:c r="D25" t="str">
        <x:v>RB</x:v>
      </x:c>
      <x:c r="E25" s="20" t="n">
        <x:v>195</x:v>
      </x:c>
      <x:c r="F25" s="20" t="n">
        <x:v>2</x:v>
      </x:c>
      <x:c r="G25" t="n">
        <x:v>136</x:v>
      </x:c>
      <x:c r="H25" s="27" t="n">
        <x:v>0</x:v>
      </x:c>
      <x:c r="I25" s="27" t="n">
        <x:v>2</x:v>
      </x:c>
      <x:c r="J25" s="28" t="n">
        <x:v>59</x:v>
      </x:c>
      <x:c r="K25" s="35" t="n">
        <x:v>13.8</x:v>
      </x:c>
      <x:c r="L25" t="str">
        <x:v>🔥 STEAL</x:v>
      </x:c>
    </x:row>
    <x:row r="26">
      <x:c r="A26" t="n">
        <x:v>25</x:v>
      </x:c>
      <x:c r="B26" t="str">
        <x:v>Kyle Monangai</x:v>
      </x:c>
      <x:c r="C26" t="str">
        <x:v>RB42</x:v>
      </x:c>
      <x:c r="D26" t="str">
        <x:v>RB</x:v>
      </x:c>
      <x:c r="E26" s="20" t="n">
        <x:v>125</x:v>
      </x:c>
      <x:c r="F26" s="20" t="n">
        <x:v>7</x:v>
      </x:c>
      <x:c r="G26" t="n">
        <x:v>92</x:v>
      </x:c>
      <x:c r="H26" s="27" t="n">
        <x:v>0</x:v>
      </x:c>
      <x:c r="I26" s="27" t="n">
        <x:v>7</x:v>
      </x:c>
      <x:c r="J26" s="28" t="n">
        <x:v>33</x:v>
      </x:c>
      <x:c r="K26" s="35" t="n">
        <x:v>13.6</x:v>
      </x:c>
      <x:c r="L26" t="str">
        <x:v>🔥 STEAL</x:v>
      </x:c>
    </x:row>
    <x:row r="27">
      <x:c r="A27" t="n">
        <x:v>26</x:v>
      </x:c>
      <x:c r="B27" t="str">
        <x:v>Jerry Jeudy</x:v>
      </x:c>
      <x:c r="C27" t="str">
        <x:v>WR74</x:v>
      </x:c>
      <x:c r="D27" t="str">
        <x:v>WR</x:v>
      </x:c>
      <x:c r="E27" s="20" t="n">
        <x:v>180</x:v>
      </x:c>
      <x:c r="F27" s="20" t="n">
        <x:v>3</x:v>
      </x:c>
      <x:c r="G27" t="n">
        <x:v>127</x:v>
      </x:c>
      <x:c r="H27" s="27" t="n">
        <x:v>0</x:v>
      </x:c>
      <x:c r="I27" s="27" t="n">
        <x:v>3</x:v>
      </x:c>
      <x:c r="J27" s="28" t="n">
        <x:v>53</x:v>
      </x:c>
      <x:c r="K27" s="35" t="n">
        <x:v>13.6</x:v>
      </x:c>
      <x:c r="L27" t="str">
        <x:v>🔥 STEAL</x:v>
      </x:c>
    </x:row>
    <x:row r="28">
      <x:c r="A28" t="n">
        <x:v>27</x:v>
      </x:c>
      <x:c r="B28" t="str">
        <x:v>Wan'Dale Robinson</x:v>
      </x:c>
      <x:c r="C28" t="str">
        <x:v>WR47</x:v>
      </x:c>
      <x:c r="D28" t="str">
        <x:v>WR</x:v>
      </x:c>
      <x:c r="E28" s="20" t="n">
        <x:v>111</x:v>
      </x:c>
      <x:c r="F28" s="20" t="n">
        <x:v>8</x:v>
      </x:c>
      <x:c r="G28" t="n">
        <x:v>84</x:v>
      </x:c>
      <x:c r="H28" s="27" t="n">
        <x:v>0</x:v>
      </x:c>
      <x:c r="I28" s="27" t="n">
        <x:v>8</x:v>
      </x:c>
      <x:c r="J28" s="28" t="n">
        <x:v>27</x:v>
      </x:c>
      <x:c r="K28" s="35" t="n">
        <x:v>13.4</x:v>
      </x:c>
      <x:c r="L28" t="str">
        <x:v>🔥 STEAL</x:v>
      </x:c>
    </x:row>
    <x:row r="29">
      <x:c r="A29" t="n">
        <x:v>28</x:v>
      </x:c>
      <x:c r="B29" t="str">
        <x:v>Kaelon Black</x:v>
      </x:c>
      <x:c r="C29" t="str">
        <x:v>RB65</x:v>
      </x:c>
      <x:c r="D29" t="str">
        <x:v>RB</x:v>
      </x:c>
      <x:c r="E29" s="20" t="n">
        <x:v>212</x:v>
      </x:c>
      <x:c r="F29" s="20" t="n">
        <x:v>1</x:v>
      </x:c>
      <x:c r="G29" t="n">
        <x:v>150</x:v>
      </x:c>
      <x:c r="H29" s="27" t="n">
        <x:v>0</x:v>
      </x:c>
      <x:c r="I29" s="27" t="n">
        <x:v>1</x:v>
      </x:c>
      <x:c r="J29" s="28" t="n">
        <x:v>62</x:v>
      </x:c>
      <x:c r="K29" s="35" t="n">
        <x:v>13.4</x:v>
      </x:c>
      <x:c r="L29" t="str">
        <x:v>🔥 STEAL</x:v>
      </x:c>
    </x:row>
    <x:row r="30">
      <x:c r="A30" t="n">
        <x:v>29</x:v>
      </x:c>
      <x:c r="B30" t="str">
        <x:v>Kyle Pitts Sr.</x:v>
      </x:c>
      <x:c r="C30" t="str">
        <x:v>TE6</x:v>
      </x:c>
      <x:c r="D30" t="str">
        <x:v>TE</x:v>
      </x:c>
      <x:c r="E30" s="20" t="n">
        <x:v>95</x:v>
      </x:c>
      <x:c r="F30" s="20" t="n">
        <x:v>11</x:v>
      </x:c>
      <x:c r="G30" t="n">
        <x:v>72</x:v>
      </x:c>
      <x:c r="H30" s="27" t="n">
        <x:v>2.81</x:v>
      </x:c>
      <x:c r="I30" s="27" t="n">
        <x:v>8.19</x:v>
      </x:c>
      <x:c r="J30" s="28" t="n">
        <x:v>23</x:v>
      </x:c>
      <x:c r="K30" s="35" t="n">
        <x:v>12.79</x:v>
      </x:c>
      <x:c r="L30" t="str">
        <x:v>🔥 STEAL</x:v>
      </x:c>
    </x:row>
    <x:row r="31">
      <x:c r="A31" t="n">
        <x:v>30</x:v>
      </x:c>
      <x:c r="B31" t="str">
        <x:v>Samaje Perine</x:v>
      </x:c>
      <x:c r="C31" t="str">
        <x:v>RB59</x:v>
      </x:c>
      <x:c r="D31" t="str">
        <x:v>RB</x:v>
      </x:c>
      <x:c r="E31" s="20" t="n">
        <x:v>189</x:v>
      </x:c>
      <x:c r="F31" s="20" t="n">
        <x:v>2</x:v>
      </x:c>
      <x:c r="G31" t="n">
        <x:v>136</x:v>
      </x:c>
      <x:c r="H31" s="27" t="n">
        <x:v>0</x:v>
      </x:c>
      <x:c r="I31" s="27" t="n">
        <x:v>2</x:v>
      </x:c>
      <x:c r="J31" s="28" t="n">
        <x:v>53</x:v>
      </x:c>
      <x:c r="K31" s="35" t="n">
        <x:v>12.6</x:v>
      </x:c>
      <x:c r="L31" t="str">
        <x:v>🔥 STEAL</x:v>
      </x:c>
    </x:row>
    <x:row r="32">
      <x:c r="A32" t="n">
        <x:v>31</x:v>
      </x:c>
      <x:c r="B32" t="str">
        <x:v>Christian McCaffrey</x:v>
      </x:c>
      <x:c r="C32" t="str">
        <x:v>RB3</x:v>
      </x:c>
      <x:c r="D32" t="str">
        <x:v>RB</x:v>
      </x:c>
      <x:c r="E32" s="20" t="n">
        <x:v>6</x:v>
      </x:c>
      <x:c r="F32" s="20" t="n">
        <x:v>52</x:v>
      </x:c>
      <x:c r="G32" t="n">
        <x:v>7</x:v>
      </x:c>
      <x:c r="H32" s="27" t="n">
        <x:v>40.19</x:v>
      </x:c>
      <x:c r="I32" s="27" t="n">
        <x:v>11.81</x:v>
      </x:c>
      <x:c r="J32" s="28" t="n">
        <x:v>-1</x:v>
      </x:c>
      <x:c r="K32" s="35" t="n">
        <x:v>11.61</x:v>
      </x:c>
      <x:c r="L32" t="str">
        <x:v>🔥 STEAL</x:v>
      </x:c>
    </x:row>
    <x:row r="33">
      <x:c r="A33" t="n">
        <x:v>32</x:v>
      </x:c>
      <x:c r="B33" t="str">
        <x:v>Kenneth Gainwell</x:v>
      </x:c>
      <x:c r="C33" t="str">
        <x:v>RB36</x:v>
      </x:c>
      <x:c r="D33" t="str">
        <x:v>RB</x:v>
      </x:c>
      <x:c r="E33" s="20" t="n">
        <x:v>96</x:v>
      </x:c>
      <x:c r="F33" s="20" t="n">
        <x:v>10</x:v>
      </x:c>
      <x:c r="G33" t="n">
        <x:v>76</x:v>
      </x:c>
      <x:c r="H33" s="27" t="n">
        <x:v>2.39</x:v>
      </x:c>
      <x:c r="I33" s="27" t="n">
        <x:v>7.61</x:v>
      </x:c>
      <x:c r="J33" s="28" t="n">
        <x:v>20</x:v>
      </x:c>
      <x:c r="K33" s="35" t="n">
        <x:v>11.61</x:v>
      </x:c>
      <x:c r="L33" t="str">
        <x:v>🔥 STEAL</x:v>
      </x:c>
    </x:row>
    <x:row r="34">
      <x:c r="A34" t="n">
        <x:v>33</x:v>
      </x:c>
      <x:c r="B34" t="str">
        <x:v>Jakobi Meyers</x:v>
      </x:c>
      <x:c r="C34" t="str">
        <x:v>WR49</x:v>
      </x:c>
      <x:c r="D34" t="str">
        <x:v>WR</x:v>
      </x:c>
      <x:c r="E34" s="20" t="n">
        <x:v>114</x:v>
      </x:c>
      <x:c r="F34" s="20" t="n">
        <x:v>7</x:v>
      </x:c>
      <x:c r="G34" t="n">
        <x:v>92</x:v>
      </x:c>
      <x:c r="H34" s="27" t="n">
        <x:v>0</x:v>
      </x:c>
      <x:c r="I34" s="27" t="n">
        <x:v>7</x:v>
      </x:c>
      <x:c r="J34" s="28" t="n">
        <x:v>22</x:v>
      </x:c>
      <x:c r="K34" s="35" t="n">
        <x:v>11.4</x:v>
      </x:c>
      <x:c r="L34" t="str">
        <x:v>🔥 STEAL</x:v>
      </x:c>
    </x:row>
    <x:row r="35">
      <x:c r="A35" t="n">
        <x:v>34</x:v>
      </x:c>
      <x:c r="B35" t="str">
        <x:v>Jaxson Dart</x:v>
      </x:c>
      <x:c r="C35" t="str">
        <x:v>QB14</x:v>
      </x:c>
      <x:c r="D35" t="str">
        <x:v>QB</x:v>
      </x:c>
      <x:c r="E35" s="20" t="n">
        <x:v>101</x:v>
      </x:c>
      <x:c r="F35" s="20" t="n">
        <x:v>8</x:v>
      </x:c>
      <x:c r="G35" t="n">
        <x:v>84</x:v>
      </x:c>
      <x:c r="H35" s="27" t="n">
        <x:v>0.29</x:v>
      </x:c>
      <x:c r="I35" s="27" t="n">
        <x:v>7.71</x:v>
      </x:c>
      <x:c r="J35" s="28" t="n">
        <x:v>17</x:v>
      </x:c>
      <x:c r="K35" s="35" t="n">
        <x:v>11.11</x:v>
      </x:c>
      <x:c r="L35" t="str">
        <x:v>🔥 STEAL</x:v>
      </x:c>
    </x:row>
    <x:row r="36">
      <x:c r="A36" t="n">
        <x:v>35</x:v>
      </x:c>
      <x:c r="B36" t="str">
        <x:v>Mark Andrews</x:v>
      </x:c>
      <x:c r="C36" t="str">
        <x:v>TE15</x:v>
      </x:c>
      <x:c r="D36" t="str">
        <x:v>TE</x:v>
      </x:c>
      <x:c r="E36" s="20" t="n">
        <x:v>133</x:v>
      </x:c>
      <x:c r="F36" s="20" t="n">
        <x:v>5</x:v>
      </x:c>
      <x:c r="G36" t="n">
        <x:v>108</x:v>
      </x:c>
      <x:c r="H36" s="27" t="n">
        <x:v>0</x:v>
      </x:c>
      <x:c r="I36" s="27" t="n">
        <x:v>5</x:v>
      </x:c>
      <x:c r="J36" s="28" t="n">
        <x:v>25</x:v>
      </x:c>
      <x:c r="K36" s="35" t="n">
        <x:v>10</x:v>
      </x:c>
      <x:c r="L36" t="str">
        <x:v>🔥 STEAL</x:v>
      </x:c>
    </x:row>
    <x:row r="37">
      <x:c r="A37" t="n">
        <x:v>36</x:v>
      </x:c>
      <x:c r="B37" t="str">
        <x:v>Jake Ferguson</x:v>
      </x:c>
      <x:c r="C37" t="str">
        <x:v>TE14</x:v>
      </x:c>
      <x:c r="D37" t="str">
        <x:v>TE</x:v>
      </x:c>
      <x:c r="E37" s="20" t="n">
        <x:v>131</x:v>
      </x:c>
      <x:c r="F37" s="20" t="n">
        <x:v>5</x:v>
      </x:c>
      <x:c r="G37" t="n">
        <x:v>108</x:v>
      </x:c>
      <x:c r="H37" s="27" t="n">
        <x:v>0</x:v>
      </x:c>
      <x:c r="I37" s="27" t="n">
        <x:v>5</x:v>
      </x:c>
      <x:c r="J37" s="28" t="n">
        <x:v>23</x:v>
      </x:c>
      <x:c r="K37" s="35" t="n">
        <x:v>9.6</x:v>
      </x:c>
      <x:c r="L37" t="str">
        <x:v>🔥 STEAL</x:v>
      </x:c>
    </x:row>
    <x:row r="38">
      <x:c r="A38" t="n">
        <x:v>37</x:v>
      </x:c>
      <x:c r="B38" t="str">
        <x:v>Dylan Sampson</x:v>
      </x:c>
      <x:c r="C38" t="str">
        <x:v>RB49</x:v>
      </x:c>
      <x:c r="D38" t="str">
        <x:v>RB</x:v>
      </x:c>
      <x:c r="E38" s="20" t="n">
        <x:v>159</x:v>
      </x:c>
      <x:c r="F38" s="20" t="n">
        <x:v>3</x:v>
      </x:c>
      <x:c r="G38" t="n">
        <x:v>127</x:v>
      </x:c>
      <x:c r="H38" s="27" t="n">
        <x:v>0</x:v>
      </x:c>
      <x:c r="I38" s="27" t="n">
        <x:v>3</x:v>
      </x:c>
      <x:c r="J38" s="28" t="n">
        <x:v>32</x:v>
      </x:c>
      <x:c r="K38" s="35" t="n">
        <x:v>9.4</x:v>
      </x:c>
      <x:c r="L38" t="str">
        <x:v>🔥 STEAL</x:v>
      </x:c>
    </x:row>
    <x:row r="39">
      <x:c r="A39" t="n">
        <x:v>38</x:v>
      </x:c>
      <x:c r="B39" t="str">
        <x:v>Jordan Mason</x:v>
      </x:c>
      <x:c r="C39" t="str">
        <x:v>RB40</x:v>
      </x:c>
      <x:c r="D39" t="str">
        <x:v>RB</x:v>
      </x:c>
      <x:c r="E39" s="20" t="n">
        <x:v>118</x:v>
      </x:c>
      <x:c r="F39" s="20" t="n">
        <x:v>6</x:v>
      </x:c>
      <x:c r="G39" t="n">
        <x:v>102</x:v>
      </x:c>
      <x:c r="H39" s="27" t="n">
        <x:v>0</x:v>
      </x:c>
      <x:c r="I39" s="27" t="n">
        <x:v>6</x:v>
      </x:c>
      <x:c r="J39" s="28" t="n">
        <x:v>16</x:v>
      </x:c>
      <x:c r="K39" s="35" t="n">
        <x:v>9.2</x:v>
      </x:c>
      <x:c r="L39" t="str">
        <x:v>🔥 STEAL</x:v>
      </x:c>
    </x:row>
    <x:row r="40">
      <x:c r="A40" t="n">
        <x:v>39</x:v>
      </x:c>
      <x:c r="B40" t="str">
        <x:v>Rashee Rice</x:v>
      </x:c>
      <x:c r="C40" t="str">
        <x:v>WR13</x:v>
      </x:c>
      <x:c r="D40" t="str">
        <x:v>WR</x:v>
      </x:c>
      <x:c r="E40" s="20" t="n">
        <x:v>28</x:v>
      </x:c>
      <x:c r="F40" s="20" t="n">
        <x:v>37</x:v>
      </x:c>
      <x:c r="G40" t="n">
        <x:v>13</x:v>
      </x:c>
      <x:c r="H40" s="27" t="n">
        <x:v>30.95</x:v>
      </x:c>
      <x:c r="I40" s="27" t="n">
        <x:v>6.05</x:v>
      </x:c>
      <x:c r="J40" s="28" t="n">
        <x:v>15</x:v>
      </x:c>
      <x:c r="K40" s="35" t="n">
        <x:v>9.05</x:v>
      </x:c>
      <x:c r="L40" t="str">
        <x:v>🔥 STEAL</x:v>
      </x:c>
    </x:row>
    <x:row r="41">
      <x:c r="A41" t="n">
        <x:v>40</x:v>
      </x:c>
      <x:c r="B41" t="str">
        <x:v>Woody Marks</x:v>
      </x:c>
      <x:c r="C41" t="str">
        <x:v>RB45</x:v>
      </x:c>
      <x:c r="D41" t="str">
        <x:v>RB</x:v>
      </x:c>
      <x:c r="E41" s="20" t="n">
        <x:v>143</x:v>
      </x:c>
      <x:c r="F41" s="20" t="n">
        <x:v>4</x:v>
      </x:c>
      <x:c r="G41" t="n">
        <x:v>118</x:v>
      </x:c>
      <x:c r="H41" s="27" t="n">
        <x:v>0</x:v>
      </x:c>
      <x:c r="I41" s="27" t="n">
        <x:v>4</x:v>
      </x:c>
      <x:c r="J41" s="28" t="n">
        <x:v>25</x:v>
      </x:c>
      <x:c r="K41" s="35" t="n">
        <x:v>9</x:v>
      </x:c>
      <x:c r="L41" t="str">
        <x:v>🔥 STEAL</x:v>
      </x:c>
    </x:row>
    <x:row r="42">
      <x:c r="A42" t="n">
        <x:v>41</x:v>
      </x:c>
      <x:c r="B42" t="str">
        <x:v>Calvin Ridley</x:v>
      </x:c>
      <x:c r="C42" t="str">
        <x:v>WR67</x:v>
      </x:c>
      <x:c r="D42" t="str">
        <x:v>WR</x:v>
      </x:c>
      <x:c r="E42" s="20" t="n">
        <x:v>171</x:v>
      </x:c>
      <x:c r="F42" s="20" t="n">
        <x:v>2</x:v>
      </x:c>
      <x:c r="G42" t="n">
        <x:v>136</x:v>
      </x:c>
      <x:c r="H42" s="27" t="n">
        <x:v>0</x:v>
      </x:c>
      <x:c r="I42" s="27" t="n">
        <x:v>2</x:v>
      </x:c>
      <x:c r="J42" s="28" t="n">
        <x:v>35</x:v>
      </x:c>
      <x:c r="K42" s="35" t="n">
        <x:v>9</x:v>
      </x:c>
      <x:c r="L42" t="str">
        <x:v>🔥 STEAL</x:v>
      </x:c>
    </x:row>
    <x:row r="43">
      <x:c r="A43" t="n">
        <x:v>42</x:v>
      </x:c>
      <x:c r="B43" t="str">
        <x:v>Jacory Croskey-Merritt</x:v>
      </x:c>
      <x:c r="C43" t="str">
        <x:v>RB39</x:v>
      </x:c>
      <x:c r="D43" t="str">
        <x:v>RB</x:v>
      </x:c>
      <x:c r="E43" s="20" t="n">
        <x:v>116</x:v>
      </x:c>
      <x:c r="F43" s="20" t="n">
        <x:v>6</x:v>
      </x:c>
      <x:c r="G43" t="n">
        <x:v>102</x:v>
      </x:c>
      <x:c r="H43" s="27" t="n">
        <x:v>0</x:v>
      </x:c>
      <x:c r="I43" s="27" t="n">
        <x:v>6</x:v>
      </x:c>
      <x:c r="J43" s="28" t="n">
        <x:v>14</x:v>
      </x:c>
      <x:c r="K43" s="35" t="n">
        <x:v>8.8</x:v>
      </x:c>
      <x:c r="L43" t="str">
        <x:v>✅ VALUE</x:v>
      </x:c>
    </x:row>
    <x:row r="44">
      <x:c r="A44" t="n">
        <x:v>43</x:v>
      </x:c>
      <x:c r="B44" t="str">
        <x:v>Jonathan Taylor</x:v>
      </x:c>
      <x:c r="C44" t="str">
        <x:v>RB5</x:v>
      </x:c>
      <x:c r="D44" t="str">
        <x:v>RB</x:v>
      </x:c>
      <x:c r="E44" s="20" t="n">
        <x:v>11</x:v>
      </x:c>
      <x:c r="F44" s="20" t="n">
        <x:v>46</x:v>
      </x:c>
      <x:c r="G44" t="n">
        <x:v>8</x:v>
      </x:c>
      <x:c r="H44" s="27" t="n">
        <x:v>38.09</x:v>
      </x:c>
      <x:c r="I44" s="27" t="n">
        <x:v>7.91</x:v>
      </x:c>
      <x:c r="J44" s="28" t="n">
        <x:v>3</x:v>
      </x:c>
      <x:c r="K44" s="35" t="n">
        <x:v>8.51</x:v>
      </x:c>
      <x:c r="L44" t="str">
        <x:v>✅ VALUE</x:v>
      </x:c>
    </x:row>
    <x:row r="45">
      <x:c r="A45" t="n">
        <x:v>44</x:v>
      </x:c>
      <x:c r="B45" t="str">
        <x:v>Quinshon Judkins</x:v>
      </x:c>
      <x:c r="C45" t="str">
        <x:v>RB27</x:v>
      </x:c>
      <x:c r="D45" t="str">
        <x:v>RB</x:v>
      </x:c>
      <x:c r="E45" s="20" t="n">
        <x:v>64</x:v>
      </x:c>
      <x:c r="F45" s="20" t="n">
        <x:v>20</x:v>
      </x:c>
      <x:c r="G45" t="n">
        <x:v>44</x:v>
      </x:c>
      <x:c r="H45" s="27" t="n">
        <x:v>15.83</x:v>
      </x:c>
      <x:c r="I45" s="27" t="n">
        <x:v>4.17</x:v>
      </x:c>
      <x:c r="J45" s="28" t="n">
        <x:v>20</x:v>
      </x:c>
      <x:c r="K45" s="35" t="n">
        <x:v>8.17</x:v>
      </x:c>
      <x:c r="L45" t="str">
        <x:v>🔥 STEAL</x:v>
      </x:c>
    </x:row>
    <x:row r="46">
      <x:c r="A46" t="n">
        <x:v>45</x:v>
      </x:c>
      <x:c r="B46" t="str">
        <x:v>De'Von Achane</x:v>
      </x:c>
      <x:c r="C46" t="str">
        <x:v>RB11</x:v>
      </x:c>
      <x:c r="D46" t="str">
        <x:v>RB</x:v>
      </x:c>
      <x:c r="E46" s="20" t="n">
        <x:v>18</x:v>
      </x:c>
      <x:c r="F46" s="20" t="n">
        <x:v>41</x:v>
      </x:c>
      <x:c r="G46" t="n">
        <x:v>9</x:v>
      </x:c>
      <x:c r="H46" s="27" t="n">
        <x:v>35.15</x:v>
      </x:c>
      <x:c r="I46" s="27" t="n">
        <x:v>5.85</x:v>
      </x:c>
      <x:c r="J46" s="28" t="n">
        <x:v>9</x:v>
      </x:c>
      <x:c r="K46" s="35" t="n">
        <x:v>7.65</x:v>
      </x:c>
      <x:c r="L46" t="str">
        <x:v>✅ VALUE</x:v>
      </x:c>
    </x:row>
    <x:row r="47">
      <x:c r="A47" t="n">
        <x:v>46</x:v>
      </x:c>
      <x:c r="B47" t="str">
        <x:v>De'Zhaun Stribling</x:v>
      </x:c>
      <x:c r="C47" t="str">
        <x:v>WR52</x:v>
      </x:c>
      <x:c r="D47" t="str">
        <x:v>WR</x:v>
      </x:c>
      <x:c r="E47" s="20" t="n">
        <x:v>121</x:v>
      </x:c>
      <x:c r="F47" s="20" t="n">
        <x:v>5</x:v>
      </x:c>
      <x:c r="G47" t="n">
        <x:v>108</x:v>
      </x:c>
      <x:c r="H47" s="27" t="n">
        <x:v>0</x:v>
      </x:c>
      <x:c r="I47" s="27" t="n">
        <x:v>5</x:v>
      </x:c>
      <x:c r="J47" s="28" t="n">
        <x:v>13</x:v>
      </x:c>
      <x:c r="K47" s="35" t="n">
        <x:v>7.6</x:v>
      </x:c>
      <x:c r="L47" t="str">
        <x:v>✅ VALUE</x:v>
      </x:c>
    </x:row>
    <x:row r="48">
      <x:c r="A48" t="n">
        <x:v>47</x:v>
      </x:c>
      <x:c r="B48" t="str">
        <x:v>Michael Wilson</x:v>
      </x:c>
      <x:c r="C48" t="str">
        <x:v>WR43</x:v>
      </x:c>
      <x:c r="D48" t="str">
        <x:v>WR</x:v>
      </x:c>
      <x:c r="E48" s="20" t="n">
        <x:v>99</x:v>
      </x:c>
      <x:c r="F48" s="20" t="n">
        <x:v>7</x:v>
      </x:c>
      <x:c r="G48" t="n">
        <x:v>92</x:v>
      </x:c>
      <x:c r="H48" s="27" t="n">
        <x:v>1.13</x:v>
      </x:c>
      <x:c r="I48" s="27" t="n">
        <x:v>5.87</x:v>
      </x:c>
      <x:c r="J48" s="28" t="n">
        <x:v>7</x:v>
      </x:c>
      <x:c r="K48" s="35" t="n">
        <x:v>7.27</x:v>
      </x:c>
      <x:c r="L48" t="str">
        <x:v>✅ VALUE</x:v>
      </x:c>
    </x:row>
    <x:row r="49">
      <x:c r="A49" t="n">
        <x:v>48</x:v>
      </x:c>
      <x:c r="B49" t="str">
        <x:v>Isaiah Likely</x:v>
      </x:c>
      <x:c r="C49" t="str">
        <x:v>TE13</x:v>
      </x:c>
      <x:c r="D49" t="str">
        <x:v>TE</x:v>
      </x:c>
      <x:c r="E49" s="20" t="n">
        <x:v>130</x:v>
      </x:c>
      <x:c r="F49" s="20" t="n">
        <x:v>4</x:v>
      </x:c>
      <x:c r="G49" t="n">
        <x:v>118</x:v>
      </x:c>
      <x:c r="H49" s="27" t="n">
        <x:v>0</x:v>
      </x:c>
      <x:c r="I49" s="27" t="n">
        <x:v>4</x:v>
      </x:c>
      <x:c r="J49" s="28" t="n">
        <x:v>12</x:v>
      </x:c>
      <x:c r="K49" s="35" t="n">
        <x:v>6.4</x:v>
      </x:c>
      <x:c r="L49" t="str">
        <x:v>✅ VALUE</x:v>
      </x:c>
    </x:row>
    <x:row r="50">
      <x:c r="A50" t="n">
        <x:v>49</x:v>
      </x:c>
      <x:c r="B50" t="str">
        <x:v>Jaylen Warren</x:v>
      </x:c>
      <x:c r="C50" t="str">
        <x:v>RB30</x:v>
      </x:c>
      <x:c r="D50" t="str">
        <x:v>RB</x:v>
      </x:c>
      <x:c r="E50" s="20" t="n">
        <x:v>75</x:v>
      </x:c>
      <x:c r="F50" s="20" t="n">
        <x:v>14</x:v>
      </x:c>
      <x:c r="G50" t="n">
        <x:v>57</x:v>
      </x:c>
      <x:c r="H50" s="27" t="n">
        <x:v>11.21</x:v>
      </x:c>
      <x:c r="I50" s="27" t="n">
        <x:v>2.79</x:v>
      </x:c>
      <x:c r="J50" s="28" t="n">
        <x:v>18</x:v>
      </x:c>
      <x:c r="K50" s="35" t="n">
        <x:v>6.39</x:v>
      </x:c>
      <x:c r="L50" t="str">
        <x:v>🔥 STEAL</x:v>
      </x:c>
    </x:row>
    <x:row r="51">
      <x:c r="A51" t="n">
        <x:v>50</x:v>
      </x:c>
      <x:c r="B51" t="str">
        <x:v>Deebo Samuel Sr.</x:v>
      </x:c>
      <x:c r="C51" t="str">
        <x:v>WR54</x:v>
      </x:c>
      <x:c r="D51" t="str">
        <x:v>WR</x:v>
      </x:c>
      <x:c r="E51" s="20" t="n">
        <x:v>129</x:v>
      </x:c>
      <x:c r="F51" s="20" t="n">
        <x:v>4</x:v>
      </x:c>
      <x:c r="G51" t="n">
        <x:v>118</x:v>
      </x:c>
      <x:c r="H51" s="27" t="n">
        <x:v>0</x:v>
      </x:c>
      <x:c r="I51" s="27" t="n">
        <x:v>4</x:v>
      </x:c>
      <x:c r="J51" s="28" t="n">
        <x:v>11</x:v>
      </x:c>
      <x:c r="K51" s="35" t="n">
        <x:v>6.2</x:v>
      </x:c>
      <x:c r="L51" t="str">
        <x:v>✅ VALUE</x:v>
      </x:c>
    </x:row>
    <x:row r="52">
      <x:c r="A52" t="n">
        <x:v>51</x:v>
      </x:c>
      <x:c r="B52" t="str">
        <x:v>RJ Harvey</x:v>
      </x:c>
      <x:c r="C52" t="str">
        <x:v>RB35</x:v>
      </x:c>
      <x:c r="D52" t="str">
        <x:v>RB</x:v>
      </x:c>
      <x:c r="E52" s="20" t="n">
        <x:v>93</x:v>
      </x:c>
      <x:c r="F52" s="20" t="n">
        <x:v>8</x:v>
      </x:c>
      <x:c r="G52" t="n">
        <x:v>84</x:v>
      </x:c>
      <x:c r="H52" s="27" t="n">
        <x:v>3.65</x:v>
      </x:c>
      <x:c r="I52" s="27" t="n">
        <x:v>4.35</x:v>
      </x:c>
      <x:c r="J52" s="28" t="n">
        <x:v>9</x:v>
      </x:c>
      <x:c r="K52" s="35" t="n">
        <x:v>6.15</x:v>
      </x:c>
      <x:c r="L52" t="str">
        <x:v>✅ VALUE</x:v>
      </x:c>
    </x:row>
    <x:row r="53">
      <x:c r="A53" t="n">
        <x:v>52</x:v>
      </x:c>
      <x:c r="B53" t="str">
        <x:v>Drake London</x:v>
      </x:c>
      <x:c r="C53" t="str">
        <x:v>WR8</x:v>
      </x:c>
      <x:c r="D53" t="str">
        <x:v>WR</x:v>
      </x:c>
      <x:c r="E53" s="20" t="n">
        <x:v>19</x:v>
      </x:c>
      <x:c r="F53" s="20" t="n">
        <x:v>39</x:v>
      </x:c>
      <x:c r="G53" t="n">
        <x:v>10</x:v>
      </x:c>
      <x:c r="H53" s="27" t="n">
        <x:v>34.73</x:v>
      </x:c>
      <x:c r="I53" s="27" t="n">
        <x:v>4.27</x:v>
      </x:c>
      <x:c r="J53" s="28" t="n">
        <x:v>9</x:v>
      </x:c>
      <x:c r="K53" s="35" t="n">
        <x:v>6.07</x:v>
      </x:c>
      <x:c r="L53" t="str">
        <x:v>✅ VALUE</x:v>
      </x:c>
    </x:row>
    <x:row r="54">
      <x:c r="A54" t="n">
        <x:v>53</x:v>
      </x:c>
      <x:c r="B54" t="str">
        <x:v>Chuba Hubbard</x:v>
      </x:c>
      <x:c r="C54" t="str">
        <x:v>RB32</x:v>
      </x:c>
      <x:c r="D54" t="str">
        <x:v>RB</x:v>
      </x:c>
      <x:c r="E54" s="20" t="n">
        <x:v>87</x:v>
      </x:c>
      <x:c r="F54" s="20" t="n">
        <x:v>10</x:v>
      </x:c>
      <x:c r="G54" t="n">
        <x:v>76</x:v>
      </x:c>
      <x:c r="H54" s="27" t="n">
        <x:v>6.17</x:v>
      </x:c>
      <x:c r="I54" s="27" t="n">
        <x:v>3.83</x:v>
      </x:c>
      <x:c r="J54" s="28" t="n">
        <x:v>11</x:v>
      </x:c>
      <x:c r="K54" s="35" t="n">
        <x:v>6.03</x:v>
      </x:c>
      <x:c r="L54" t="str">
        <x:v>✅ VALUE</x:v>
      </x:c>
    </x:row>
    <x:row r="55">
      <x:c r="A55" t="n">
        <x:v>54</x:v>
      </x:c>
      <x:c r="B55" t="str">
        <x:v>Matthew Golden</x:v>
      </x:c>
      <x:c r="C55" t="str">
        <x:v>WR48</x:v>
      </x:c>
      <x:c r="D55" t="str">
        <x:v>WR</x:v>
      </x:c>
      <x:c r="E55" s="20" t="n">
        <x:v>112</x:v>
      </x:c>
      <x:c r="F55" s="20" t="n">
        <x:v>5</x:v>
      </x:c>
      <x:c r="G55" t="n">
        <x:v>108</x:v>
      </x:c>
      <x:c r="H55" s="27" t="n">
        <x:v>0</x:v>
      </x:c>
      <x:c r="I55" s="27" t="n">
        <x:v>5</x:v>
      </x:c>
      <x:c r="J55" s="28" t="n">
        <x:v>4</x:v>
      </x:c>
      <x:c r="K55" s="35" t="n">
        <x:v>5.8</x:v>
      </x:c>
      <x:c r="L55" t="str">
        <x:v>✅ VALUE</x:v>
      </x:c>
    </x:row>
    <x:row r="56">
      <x:c r="A56" t="n">
        <x:v>55</x:v>
      </x:c>
      <x:c r="B56" t="str">
        <x:v>Rashid Shaheed</x:v>
      </x:c>
      <x:c r="C56" t="str">
        <x:v>WR56</x:v>
      </x:c>
      <x:c r="D56" t="str">
        <x:v>WR</x:v>
      </x:c>
      <x:c r="E56" s="20" t="n">
        <x:v>140</x:v>
      </x:c>
      <x:c r="F56" s="20" t="n">
        <x:v>3</x:v>
      </x:c>
      <x:c r="G56" t="n">
        <x:v>127</x:v>
      </x:c>
      <x:c r="H56" s="27" t="n">
        <x:v>0</x:v>
      </x:c>
      <x:c r="I56" s="27" t="n">
        <x:v>3</x:v>
      </x:c>
      <x:c r="J56" s="28" t="n">
        <x:v>13</x:v>
      </x:c>
      <x:c r="K56" s="35" t="n">
        <x:v>5.6</x:v>
      </x:c>
      <x:c r="L56" t="str">
        <x:v>✅ VALUE</x:v>
      </x:c>
    </x:row>
    <x:row r="57">
      <x:c r="A57" t="n">
        <x:v>56</x:v>
      </x:c>
      <x:c r="B57" t="str">
        <x:v>Xavier Worthy</x:v>
      </x:c>
      <x:c r="C57" t="str">
        <x:v>WR45</x:v>
      </x:c>
      <x:c r="D57" t="str">
        <x:v>WR</x:v>
      </x:c>
      <x:c r="E57" s="20" t="n">
        <x:v>108</x:v>
      </x:c>
      <x:c r="F57" s="20" t="n">
        <x:v>5</x:v>
      </x:c>
      <x:c r="G57" t="n">
        <x:v>108</x:v>
      </x:c>
      <x:c r="H57" s="27" t="n">
        <x:v>0</x:v>
      </x:c>
      <x:c r="I57" s="27" t="n">
        <x:v>5</x:v>
      </x:c>
      <x:c r="J57" s="28" t="n">
        <x:v>0</x:v>
      </x:c>
      <x:c r="K57" s="35" t="n">
        <x:v>5</x:v>
      </x:c>
      <x:c r="L57" t="str">
        <x:v>✅ VALUE</x:v>
      </x:c>
    </x:row>
    <x:row r="58">
      <x:c r="A58" t="n">
        <x:v>57</x:v>
      </x:c>
      <x:c r="B58" t="str">
        <x:v>Jonathon Brooks</x:v>
      </x:c>
      <x:c r="C58" t="str">
        <x:v>RB34</x:v>
      </x:c>
      <x:c r="D58" t="str">
        <x:v>RB</x:v>
      </x:c>
      <x:c r="E58" s="20" t="n">
        <x:v>91</x:v>
      </x:c>
      <x:c r="F58" s="20" t="n">
        <x:v>8</x:v>
      </x:c>
      <x:c r="G58" t="n">
        <x:v>84</x:v>
      </x:c>
      <x:c r="H58" s="27" t="n">
        <x:v>4.49</x:v>
      </x:c>
      <x:c r="I58" s="27" t="n">
        <x:v>3.51</x:v>
      </x:c>
      <x:c r="J58" s="28" t="n">
        <x:v>7</x:v>
      </x:c>
      <x:c r="K58" s="35" t="n">
        <x:v>4.91</x:v>
      </x:c>
      <x:c r="L58" t="str">
        <x:v>✅ VALUE</x:v>
      </x:c>
    </x:row>
    <x:row r="59">
      <x:c r="A59" t="n">
        <x:v>58</x:v>
      </x:c>
      <x:c r="B59" t="str">
        <x:v>Romeo Doubs</x:v>
      </x:c>
      <x:c r="C59" t="str">
        <x:v>WR53</x:v>
      </x:c>
      <x:c r="D59" t="str">
        <x:v>WR</x:v>
      </x:c>
      <x:c r="E59" s="20" t="n">
        <x:v>122</x:v>
      </x:c>
      <x:c r="F59" s="20" t="n">
        <x:v>4</x:v>
      </x:c>
      <x:c r="G59" t="n">
        <x:v>118</x:v>
      </x:c>
      <x:c r="H59" s="27" t="n">
        <x:v>0</x:v>
      </x:c>
      <x:c r="I59" s="27" t="n">
        <x:v>4</x:v>
      </x:c>
      <x:c r="J59" s="28" t="n">
        <x:v>4</x:v>
      </x:c>
      <x:c r="K59" s="35" t="n">
        <x:v>4.8</x:v>
      </x:c>
      <x:c r="L59" t="str">
        <x:v>✅ VALUE</x:v>
      </x:c>
    </x:row>
    <x:row r="60">
      <x:c r="A60" t="n">
        <x:v>59</x:v>
      </x:c>
      <x:c r="B60" t="str">
        <x:v>Hunter Henry</x:v>
      </x:c>
      <x:c r="C60" t="str">
        <x:v>TE19</x:v>
      </x:c>
      <x:c r="D60" t="str">
        <x:v>TE</x:v>
      </x:c>
      <x:c r="E60" s="20" t="n">
        <x:v>149</x:v>
      </x:c>
      <x:c r="F60" s="20" t="n">
        <x:v>2</x:v>
      </x:c>
      <x:c r="G60" t="n">
        <x:v>136</x:v>
      </x:c>
      <x:c r="H60" s="27" t="n">
        <x:v>0</x:v>
      </x:c>
      <x:c r="I60" s="27" t="n">
        <x:v>2</x:v>
      </x:c>
      <x:c r="J60" s="28" t="n">
        <x:v>13</x:v>
      </x:c>
      <x:c r="K60" s="35" t="n">
        <x:v>4.6</x:v>
      </x:c>
      <x:c r="L60" t="str">
        <x:v>✅ VALUE</x:v>
      </x:c>
    </x:row>
    <x:row r="61">
      <x:c r="A61" t="n">
        <x:v>60</x:v>
      </x:c>
      <x:c r="B61" t="str">
        <x:v>Chris Olave</x:v>
      </x:c>
      <x:c r="C61" t="str">
        <x:v>WR11</x:v>
      </x:c>
      <x:c r="D61" t="str">
        <x:v>WR</x:v>
      </x:c>
      <x:c r="E61" s="20" t="n">
        <x:v>25</x:v>
      </x:c>
      <x:c r="F61" s="20" t="n">
        <x:v>35</x:v>
      </x:c>
      <x:c r="G61" t="n">
        <x:v>16</x:v>
      </x:c>
      <x:c r="H61" s="27" t="n">
        <x:v>32.21</x:v>
      </x:c>
      <x:c r="I61" s="27" t="n">
        <x:v>2.79</x:v>
      </x:c>
      <x:c r="J61" s="28" t="n">
        <x:v>9</x:v>
      </x:c>
      <x:c r="K61" s="35" t="n">
        <x:v>4.59</x:v>
      </x:c>
      <x:c r="L61" t="str">
        <x:v>✅ VALUE</x:v>
      </x:c>
    </x:row>
    <x:row r="62">
      <x:c r="A62" t="n">
        <x:v>61</x:v>
      </x:c>
      <x:c r="B62" t="str">
        <x:v>Trey McBride</x:v>
      </x:c>
      <x:c r="C62" t="str">
        <x:v>TE2</x:v>
      </x:c>
      <x:c r="D62" t="str">
        <x:v>TE</x:v>
      </x:c>
      <x:c r="E62" s="20" t="n">
        <x:v>27</x:v>
      </x:c>
      <x:c r="F62" s="20" t="n">
        <x:v>34</x:v>
      </x:c>
      <x:c r="G62" t="n">
        <x:v>18</x:v>
      </x:c>
      <x:c r="H62" s="27" t="n">
        <x:v>31.37</x:v>
      </x:c>
      <x:c r="I62" s="27" t="n">
        <x:v>2.63</x:v>
      </x:c>
      <x:c r="J62" s="28" t="n">
        <x:v>9</x:v>
      </x:c>
      <x:c r="K62" s="35" t="n">
        <x:v>4.43</x:v>
      </x:c>
      <x:c r="L62" t="str">
        <x:v>✅ VALUE</x:v>
      </x:c>
    </x:row>
    <x:row r="63">
      <x:c r="A63" t="n">
        <x:v>62</x:v>
      </x:c>
      <x:c r="B63" t="str">
        <x:v>Tetairoa McMillan</x:v>
      </x:c>
      <x:c r="C63" t="str">
        <x:v>WR24</x:v>
      </x:c>
      <x:c r="D63" t="str">
        <x:v>WR</x:v>
      </x:c>
      <x:c r="E63" s="20" t="n">
        <x:v>47</x:v>
      </x:c>
      <x:c r="F63" s="20" t="n">
        <x:v>25</x:v>
      </x:c>
      <x:c r="G63" t="n">
        <x:v>35</x:v>
      </x:c>
      <x:c r="H63" s="27" t="n">
        <x:v>22.97</x:v>
      </x:c>
      <x:c r="I63" s="27" t="n">
        <x:v>2.03</x:v>
      </x:c>
      <x:c r="J63" s="28" t="n">
        <x:v>12</x:v>
      </x:c>
      <x:c r="K63" s="35" t="n">
        <x:v>4.43</x:v>
      </x:c>
      <x:c r="L63" t="str">
        <x:v>✅ VALUE</x:v>
      </x:c>
    </x:row>
    <x:row r="64">
      <x:c r="A64" t="n">
        <x:v>63</x:v>
      </x:c>
      <x:c r="B64" t="str">
        <x:v>Rome Odunze</x:v>
      </x:c>
      <x:c r="C64" t="str">
        <x:v>WR30</x:v>
      </x:c>
      <x:c r="D64" t="str">
        <x:v>WR</x:v>
      </x:c>
      <x:c r="E64" s="20" t="n">
        <x:v>67</x:v>
      </x:c>
      <x:c r="F64" s="20" t="n">
        <x:v>16</x:v>
      </x:c>
      <x:c r="G64" t="n">
        <x:v>53</x:v>
      </x:c>
      <x:c r="H64" s="27" t="n">
        <x:v>14.57</x:v>
      </x:c>
      <x:c r="I64" s="27" t="n">
        <x:v>1.43</x:v>
      </x:c>
      <x:c r="J64" s="28" t="n">
        <x:v>14</x:v>
      </x:c>
      <x:c r="K64" s="35" t="n">
        <x:v>4.23</x:v>
      </x:c>
      <x:c r="L64" t="str">
        <x:v>✅ VALUE</x:v>
      </x:c>
    </x:row>
    <x:row r="65">
      <x:c r="A65" t="n">
        <x:v>64</x:v>
      </x:c>
      <x:c r="B65" t="str">
        <x:v>KC Concepcion</x:v>
      </x:c>
      <x:c r="C65" t="str">
        <x:v>WR51</x:v>
      </x:c>
      <x:c r="D65" t="str">
        <x:v>WR</x:v>
      </x:c>
      <x:c r="E65" s="20" t="n">
        <x:v>119</x:v>
      </x:c>
      <x:c r="F65" s="20" t="n">
        <x:v>4</x:v>
      </x:c>
      <x:c r="G65" t="n">
        <x:v>118</x:v>
      </x:c>
      <x:c r="H65" s="27" t="n">
        <x:v>0</x:v>
      </x:c>
      <x:c r="I65" s="27" t="n">
        <x:v>4</x:v>
      </x:c>
      <x:c r="J65" s="28" t="n">
        <x:v>1</x:v>
      </x:c>
      <x:c r="K65" s="35" t="n">
        <x:v>4.2</x:v>
      </x:c>
      <x:c r="L65" t="str">
        <x:v>✅ VALUE</x:v>
      </x:c>
    </x:row>
    <x:row r="66">
      <x:c r="A66" t="n">
        <x:v>65</x:v>
      </x:c>
      <x:c r="B66" t="str">
        <x:v>Jalen Coker</x:v>
      </x:c>
      <x:c r="C66" t="str">
        <x:v>WR55</x:v>
      </x:c>
      <x:c r="D66" t="str">
        <x:v>WR</x:v>
      </x:c>
      <x:c r="E66" s="20" t="n">
        <x:v>132</x:v>
      </x:c>
      <x:c r="F66" s="20" t="n">
        <x:v>3</x:v>
      </x:c>
      <x:c r="G66" t="n">
        <x:v>127</x:v>
      </x:c>
      <x:c r="H66" s="27" t="n">
        <x:v>0</x:v>
      </x:c>
      <x:c r="I66" s="27" t="n">
        <x:v>3</x:v>
      </x:c>
      <x:c r="J66" s="28" t="n">
        <x:v>5</x:v>
      </x:c>
      <x:c r="K66" s="35" t="n">
        <x:v>4</x:v>
      </x:c>
      <x:c r="L66" t="str">
        <x:v>👍 SLIGHT VALUE</x:v>
      </x:c>
    </x:row>
    <x:row r="67">
      <x:c r="A67" t="n">
        <x:v>66</x:v>
      </x:c>
      <x:c r="B67" t="str">
        <x:v>Josh Allen</x:v>
      </x:c>
      <x:c r="C67" t="str">
        <x:v>QB1</x:v>
      </x:c>
      <x:c r="D67" t="str">
        <x:v>QB</x:v>
      </x:c>
      <x:c r="E67" s="20" t="n">
        <x:v>35</x:v>
      </x:c>
      <x:c r="F67" s="20" t="n">
        <x:v>30</x:v>
      </x:c>
      <x:c r="G67" t="n">
        <x:v>25</x:v>
      </x:c>
      <x:c r="H67" s="27" t="n">
        <x:v>28.01</x:v>
      </x:c>
      <x:c r="I67" s="27" t="n">
        <x:v>1.99</x:v>
      </x:c>
      <x:c r="J67" s="28" t="n">
        <x:v>10</x:v>
      </x:c>
      <x:c r="K67" s="35" t="n">
        <x:v>3.99</x:v>
      </x:c>
      <x:c r="L67" t="str">
        <x:v>✅ VALUE</x:v>
      </x:c>
    </x:row>
    <x:row r="68">
      <x:c r="A68" t="n">
        <x:v>67</x:v>
      </x:c>
      <x:c r="B68" t="str">
        <x:v>Cam Skattebo</x:v>
      </x:c>
      <x:c r="C68" t="str">
        <x:v>RB19</x:v>
      </x:c>
      <x:c r="D68" t="str">
        <x:v>RB</x:v>
      </x:c>
      <x:c r="E68" s="20" t="n">
        <x:v>46</x:v>
      </x:c>
      <x:c r="F68" s="20" t="n">
        <x:v>25</x:v>
      </x:c>
      <x:c r="G68" t="n">
        <x:v>35</x:v>
      </x:c>
      <x:c r="H68" s="27" t="n">
        <x:v>23.39</x:v>
      </x:c>
      <x:c r="I68" s="27" t="n">
        <x:v>1.61</x:v>
      </x:c>
      <x:c r="J68" s="28" t="n">
        <x:v>11</x:v>
      </x:c>
      <x:c r="K68" s="35" t="n">
        <x:v>3.81</x:v>
      </x:c>
      <x:c r="L68" t="str">
        <x:v>✅ VALUE</x:v>
      </x:c>
    </x:row>
    <x:row r="69">
      <x:c r="A69" t="n">
        <x:v>68</x:v>
      </x:c>
      <x:c r="B69" t="str">
        <x:v>Khalil Shakir</x:v>
      </x:c>
      <x:c r="C69" t="str">
        <x:v>WR50</x:v>
      </x:c>
      <x:c r="D69" t="str">
        <x:v>WR</x:v>
      </x:c>
      <x:c r="E69" s="20" t="n">
        <x:v>117</x:v>
      </x:c>
      <x:c r="F69" s="20" t="n">
        <x:v>4</x:v>
      </x:c>
      <x:c r="G69" t="n">
        <x:v>118</x:v>
      </x:c>
      <x:c r="H69" s="27" t="n">
        <x:v>0</x:v>
      </x:c>
      <x:c r="I69" s="27" t="n">
        <x:v>4</x:v>
      </x:c>
      <x:c r="J69" s="28" t="n">
        <x:v>-1</x:v>
      </x:c>
      <x:c r="K69" s="35" t="n">
        <x:v>3.8</x:v>
      </x:c>
      <x:c r="L69" t="str">
        <x:v>✅ VALUE</x:v>
      </x:c>
    </x:row>
    <x:row r="70">
      <x:c r="A70" t="n">
        <x:v>69</x:v>
      </x:c>
      <x:c r="B70" t="str">
        <x:v>Dalton Schultz</x:v>
      </x:c>
      <x:c r="C70" t="str">
        <x:v>TE23</x:v>
      </x:c>
      <x:c r="D70" t="str">
        <x:v>TE</x:v>
      </x:c>
      <x:c r="E70" s="20" t="n">
        <x:v>164</x:v>
      </x:c>
      <x:c r="F70" s="20" t="n">
        <x:v>1</x:v>
      </x:c>
      <x:c r="G70" t="n">
        <x:v>150</x:v>
      </x:c>
      <x:c r="H70" s="27" t="n">
        <x:v>0</x:v>
      </x:c>
      <x:c r="I70" s="27" t="n">
        <x:v>1</x:v>
      </x:c>
      <x:c r="J70" s="28" t="n">
        <x:v>14</x:v>
      </x:c>
      <x:c r="K70" s="35" t="n">
        <x:v>3.8</x:v>
      </x:c>
      <x:c r="L70" t="str">
        <x:v>✅ VALUE</x:v>
      </x:c>
    </x:row>
    <x:row r="71">
      <x:c r="A71" t="n">
        <x:v>70</x:v>
      </x:c>
      <x:c r="B71" t="str">
        <x:v>Denzel Boston</x:v>
      </x:c>
      <x:c r="C71" t="str">
        <x:v>WR59</x:v>
      </x:c>
      <x:c r="D71" t="str">
        <x:v>WR</x:v>
      </x:c>
      <x:c r="E71" s="20" t="n">
        <x:v>144</x:v>
      </x:c>
      <x:c r="F71" s="20" t="n">
        <x:v>2</x:v>
      </x:c>
      <x:c r="G71" t="n">
        <x:v>136</x:v>
      </x:c>
      <x:c r="H71" s="27" t="n">
        <x:v>0</x:v>
      </x:c>
      <x:c r="I71" s="27" t="n">
        <x:v>2</x:v>
      </x:c>
      <x:c r="J71" s="28" t="n">
        <x:v>8</x:v>
      </x:c>
      <x:c r="K71" s="35" t="n">
        <x:v>3.6</x:v>
      </x:c>
      <x:c r="L71" t="str">
        <x:v>✅ VALUE</x:v>
      </x:c>
    </x:row>
    <x:row r="72">
      <x:c r="A72" t="n">
        <x:v>71</x:v>
      </x:c>
      <x:c r="B72" t="str">
        <x:v>Tyler Allgeier</x:v>
      </x:c>
      <x:c r="C72" t="str">
        <x:v>RB51</x:v>
      </x:c>
      <x:c r="D72" t="str">
        <x:v>RB</x:v>
      </x:c>
      <x:c r="E72" s="20" t="n">
        <x:v>161</x:v>
      </x:c>
      <x:c r="F72" s="20" t="n">
        <x:v>1</x:v>
      </x:c>
      <x:c r="G72" t="n">
        <x:v>150</x:v>
      </x:c>
      <x:c r="H72" s="27" t="n">
        <x:v>0</x:v>
      </x:c>
      <x:c r="I72" s="27" t="n">
        <x:v>1</x:v>
      </x:c>
      <x:c r="J72" s="28" t="n">
        <x:v>11</x:v>
      </x:c>
      <x:c r="K72" s="35" t="n">
        <x:v>3.2</x:v>
      </x:c>
      <x:c r="L72" t="str">
        <x:v>✅ VALUE</x:v>
      </x:c>
    </x:row>
    <x:row r="73">
      <x:c r="A73" t="n">
        <x:v>72</x:v>
      </x:c>
      <x:c r="B73" t="str">
        <x:v>MarShawn Lloyd</x:v>
      </x:c>
      <x:c r="C73" t="str">
        <x:v>RB33</x:v>
      </x:c>
      <x:c r="D73" t="str">
        <x:v>RB</x:v>
      </x:c>
      <x:c r="E73" s="20" t="n">
        <x:v>88</x:v>
      </x:c>
      <x:c r="F73" s="20" t="n">
        <x:v>8</x:v>
      </x:c>
      <x:c r="G73" t="n">
        <x:v>84</x:v>
      </x:c>
      <x:c r="H73" s="27" t="n">
        <x:v>5.75</x:v>
      </x:c>
      <x:c r="I73" s="27" t="n">
        <x:v>2.25</x:v>
      </x:c>
      <x:c r="J73" s="28" t="n">
        <x:v>4</x:v>
      </x:c>
      <x:c r="K73" s="35" t="n">
        <x:v>3.05</x:v>
      </x:c>
      <x:c r="L73" t="str">
        <x:v>👍 SLIGHT VALUE</x:v>
      </x:c>
    </x:row>
    <x:row r="74">
      <x:c r="A74" t="n">
        <x:v>73</x:v>
      </x:c>
      <x:c r="B74" t="str">
        <x:v>Blake Corum</x:v>
      </x:c>
      <x:c r="C74" t="str">
        <x:v>RB37</x:v>
      </x:c>
      <x:c r="D74" t="str">
        <x:v>RB</x:v>
      </x:c>
      <x:c r="E74" s="20" t="n">
        <x:v>97</x:v>
      </x:c>
      <x:c r="F74" s="20" t="n">
        <x:v>6</x:v>
      </x:c>
      <x:c r="G74" t="n">
        <x:v>102</x:v>
      </x:c>
      <x:c r="H74" s="27" t="n">
        <x:v>1.97</x:v>
      </x:c>
      <x:c r="I74" s="27" t="n">
        <x:v>4.03</x:v>
      </x:c>
      <x:c r="J74" s="28" t="n">
        <x:v>-5</x:v>
      </x:c>
      <x:c r="K74" s="35" t="n">
        <x:v>3.03</x:v>
      </x:c>
      <x:c r="L74" t="str">
        <x:v>✅ VALUE</x:v>
      </x:c>
    </x:row>
    <x:row r="75">
      <x:c r="A75" t="n">
        <x:v>74</x:v>
      </x:c>
      <x:c r="B75" t="str">
        <x:v>DK Metcalf</x:v>
      </x:c>
      <x:c r="C75" t="str">
        <x:v>WR33</x:v>
      </x:c>
      <x:c r="D75" t="str">
        <x:v>WR</x:v>
      </x:c>
      <x:c r="E75" s="20" t="n">
        <x:v>72</x:v>
      </x:c>
      <x:c r="F75" s="20" t="n">
        <x:v>13</x:v>
      </x:c>
      <x:c r="G75" t="n">
        <x:v>60</x:v>
      </x:c>
      <x:c r="H75" s="27" t="n">
        <x:v>12.47</x:v>
      </x:c>
      <x:c r="I75" s="27" t="n">
        <x:v>0.53</x:v>
      </x:c>
      <x:c r="J75" s="28" t="n">
        <x:v>12</x:v>
      </x:c>
      <x:c r="K75" s="35" t="n">
        <x:v>2.93</x:v>
      </x:c>
      <x:c r="L75" t="str">
        <x:v>✅ VALUE</x:v>
      </x:c>
    </x:row>
    <x:row r="76">
      <x:c r="A76" t="n">
        <x:v>75</x:v>
      </x:c>
      <x:c r="B76" t="str">
        <x:v>Juwan Johnson</x:v>
      </x:c>
      <x:c r="C76" t="str">
        <x:v>TE16</x:v>
      </x:c>
      <x:c r="D76" t="str">
        <x:v>TE</x:v>
      </x:c>
      <x:c r="E76" s="20" t="n">
        <x:v>139</x:v>
      </x:c>
      <x:c r="F76" s="20" t="n">
        <x:v>2</x:v>
      </x:c>
      <x:c r="G76" t="n">
        <x:v>136</x:v>
      </x:c>
      <x:c r="H76" s="27" t="n">
        <x:v>0</x:v>
      </x:c>
      <x:c r="I76" s="27" t="n">
        <x:v>2</x:v>
      </x:c>
      <x:c r="J76" s="28" t="n">
        <x:v>3</x:v>
      </x:c>
      <x:c r="K76" s="35" t="n">
        <x:v>2.6</x:v>
      </x:c>
      <x:c r="L76" t="str">
        <x:v>👍 SLIGHT VALUE</x:v>
      </x:c>
    </x:row>
    <x:row r="77">
      <x:c r="A77" t="n">
        <x:v>76</x:v>
      </x:c>
      <x:c r="B77" t="str">
        <x:v>Tre Tucker</x:v>
      </x:c>
      <x:c r="C77" t="str">
        <x:v>WR63</x:v>
      </x:c>
      <x:c r="D77" t="str">
        <x:v>WR</x:v>
      </x:c>
      <x:c r="E77" s="20" t="n">
        <x:v>158</x:v>
      </x:c>
      <x:c r="F77" s="20" t="n">
        <x:v>1</x:v>
      </x:c>
      <x:c r="G77" t="n">
        <x:v>150</x:v>
      </x:c>
      <x:c r="H77" s="27" t="n">
        <x:v>0</x:v>
      </x:c>
      <x:c r="I77" s="27" t="n">
        <x:v>1</x:v>
      </x:c>
      <x:c r="J77" s="28" t="n">
        <x:v>8</x:v>
      </x:c>
      <x:c r="K77" s="35" t="n">
        <x:v>2.6</x:v>
      </x:c>
      <x:c r="L77" t="str">
        <x:v>✅ VALUE</x:v>
      </x:c>
    </x:row>
    <x:row r="78">
      <x:c r="A78" t="n">
        <x:v>77</x:v>
      </x:c>
      <x:c r="B78" t="str">
        <x:v>Chase Brown</x:v>
      </x:c>
      <x:c r="C78" t="str">
        <x:v>RB10</x:v>
      </x:c>
      <x:c r="D78" t="str">
        <x:v>RB</x:v>
      </x:c>
      <x:c r="E78" s="20" t="n">
        <x:v>17</x:v>
      </x:c>
      <x:c r="F78" s="20" t="n">
        <x:v>37</x:v>
      </x:c>
      <x:c r="G78" t="n">
        <x:v>13</x:v>
      </x:c>
      <x:c r="H78" s="27" t="n">
        <x:v>35.57</x:v>
      </x:c>
      <x:c r="I78" s="27" t="n">
        <x:v>1.43</x:v>
      </x:c>
      <x:c r="J78" s="28" t="n">
        <x:v>4</x:v>
      </x:c>
      <x:c r="K78" s="35" t="n">
        <x:v>2.23</x:v>
      </x:c>
      <x:c r="L78" t="str">
        <x:v>👍 SLIGHT VALUE</x:v>
      </x:c>
    </x:row>
    <x:row r="79">
      <x:c r="A79" t="n">
        <x:v>78</x:v>
      </x:c>
      <x:c r="B79" t="str">
        <x:v>Bucky Irving</x:v>
      </x:c>
      <x:c r="C79" t="str">
        <x:v>RB21</x:v>
      </x:c>
      <x:c r="D79" t="str">
        <x:v>RB</x:v>
      </x:c>
      <x:c r="E79" s="20" t="n">
        <x:v>52</x:v>
      </x:c>
      <x:c r="F79" s="20" t="n">
        <x:v>21</x:v>
      </x:c>
      <x:c r="G79" t="n">
        <x:v>42</x:v>
      </x:c>
      <x:c r="H79" s="27" t="n">
        <x:v>20.87</x:v>
      </x:c>
      <x:c r="I79" s="27" t="n">
        <x:v>0.13</x:v>
      </x:c>
      <x:c r="J79" s="28" t="n">
        <x:v>10</x:v>
      </x:c>
      <x:c r="K79" s="35" t="n">
        <x:v>2.13</x:v>
      </x:c>
      <x:c r="L79" t="str">
        <x:v>✅ VALUE</x:v>
      </x:c>
    </x:row>
    <x:row r="80">
      <x:c r="A80" t="n">
        <x:v>79</x:v>
      </x:c>
      <x:c r="B80" t="str">
        <x:v>Zay Flowers</x:v>
      </x:c>
      <x:c r="C80" t="str">
        <x:v>WR17</x:v>
      </x:c>
      <x:c r="D80" t="str">
        <x:v>WR</x:v>
      </x:c>
      <x:c r="E80" s="20" t="n">
        <x:v>36</x:v>
      </x:c>
      <x:c r="F80" s="20" t="n">
        <x:v>28</x:v>
      </x:c>
      <x:c r="G80" t="n">
        <x:v>29</x:v>
      </x:c>
      <x:c r="H80" s="27" t="n">
        <x:v>27.59</x:v>
      </x:c>
      <x:c r="I80" s="27" t="n">
        <x:v>0.41</x:v>
      </x:c>
      <x:c r="J80" s="28" t="n">
        <x:v>7</x:v>
      </x:c>
      <x:c r="K80" s="35" t="n">
        <x:v>1.81</x:v>
      </x:c>
      <x:c r="L80" t="str">
        <x:v>✅ VALUE</x:v>
      </x:c>
    </x:row>
    <x:row r="81">
      <x:c r="A81" t="n">
        <x:v>80</x:v>
      </x:c>
      <x:c r="B81" t="str">
        <x:v>Bo Nix</x:v>
      </x:c>
      <x:c r="C81" t="str">
        <x:v>QB18</x:v>
      </x:c>
      <x:c r="D81" t="str">
        <x:v>QB</x:v>
      </x:c>
      <x:c r="E81" s="2" t="n">
        <x:v>107</x:v>
      </x:c>
      <x:c r="F81" s="20" t="n">
        <x:v>4</x:v>
      </x:c>
      <x:c r="G81" t="n">
        <x:v>118</x:v>
      </x:c>
      <x:c r="H81" s="27" t="n">
        <x:v>0</x:v>
      </x:c>
      <x:c r="I81" s="27" t="n">
        <x:v>4</x:v>
      </x:c>
      <x:c r="J81" s="28" t="n">
        <x:v>-11</x:v>
      </x:c>
      <x:c r="K81" s="35" t="n">
        <x:v>1.8</x:v>
      </x:c>
      <x:c r="L81" t="str">
        <x:v>✅ VALUE</x:v>
      </x:c>
    </x:row>
    <x:row r="82">
      <x:c r="A82" t="n">
        <x:v>81</x:v>
      </x:c>
      <x:c r="B82" t="str">
        <x:v>Rico Dowdle</x:v>
      </x:c>
      <x:c r="C82" t="str">
        <x:v>RB31</x:v>
      </x:c>
      <x:c r="D82" t="str">
        <x:v>RB</x:v>
      </x:c>
      <x:c r="E82" s="2" t="n">
        <x:v>77</x:v>
      </x:c>
      <x:c r="F82" s="20" t="n">
        <x:v>11</x:v>
      </x:c>
      <x:c r="G82" t="n">
        <x:v>72</x:v>
      </x:c>
      <x:c r="H82" s="27" t="n">
        <x:v>10.37</x:v>
      </x:c>
      <x:c r="I82" s="27" t="n">
        <x:v>0.63</x:v>
      </x:c>
      <x:c r="J82" s="28" t="n">
        <x:v>5</x:v>
      </x:c>
      <x:c r="K82" s="35" t="n">
        <x:v>1.63</x:v>
      </x:c>
      <x:c r="L82" t="str">
        <x:v>👍 SLIGHT VALUE</x:v>
      </x:c>
    </x:row>
    <x:row r="83">
      <x:c r="A83" s="17" t="n">
        <x:v>82</x:v>
      </x:c>
      <x:c r="B83" s="17" t="str">
        <x:v>Jalen Hurts</x:v>
      </x:c>
      <x:c r="C83" t="str">
        <x:v>QB7</x:v>
      </x:c>
      <x:c r="D83" t="str">
        <x:v>QB</x:v>
      </x:c>
      <x:c r="E83" s="2" t="n">
        <x:v>73</x:v>
      </x:c>
      <x:c r="F83" s="20" t="n">
        <x:v>12</x:v>
      </x:c>
      <x:c r="G83" t="n">
        <x:v>67</x:v>
      </x:c>
      <x:c r="H83" s="27" t="n">
        <x:v>12.05</x:v>
      </x:c>
      <x:c r="I83" s="27" t="n">
        <x:v>-0.05</x:v>
      </x:c>
      <x:c r="J83" s="28" t="n">
        <x:v>6</x:v>
      </x:c>
      <x:c r="K83" s="35" t="n">
        <x:v>1.15</x:v>
      </x:c>
      <x:c r="L83" t="str">
        <x:v>👍 SLIGHT VALUE</x:v>
      </x:c>
    </x:row>
    <x:row r="84">
      <x:c r="A84" t="n">
        <x:v>83</x:v>
      </x:c>
      <x:c r="B84" t="str">
        <x:v>Marvin Harrison Jr.</x:v>
      </x:c>
      <x:c r="C84" t="str">
        <x:v>WR31</x:v>
      </x:c>
      <x:c r="D84" t="str">
        <x:v>WR</x:v>
      </x:c>
      <x:c r="E84" s="2" t="n">
        <x:v>69</x:v>
      </x:c>
      <x:c r="F84" s="20" t="n">
        <x:v>13</x:v>
      </x:c>
      <x:c r="G84" t="n">
        <x:v>60</x:v>
      </x:c>
      <x:c r="H84" s="27" t="n">
        <x:v>13.73</x:v>
      </x:c>
      <x:c r="I84" s="27" t="n">
        <x:v>-0.73</x:v>
      </x:c>
      <x:c r="J84" s="28" t="n">
        <x:v>9</x:v>
      </x:c>
      <x:c r="K84" s="35" t="n">
        <x:v>1.07</x:v>
      </x:c>
      <x:c r="L84" t="str">
        <x:v>✅ VALUE</x:v>
      </x:c>
    </x:row>
    <x:row r="85">
      <x:c r="A85" t="n">
        <x:v>84</x:v>
      </x:c>
      <x:c r="B85" t="str">
        <x:v>Brock Purdy</x:v>
      </x:c>
      <x:c r="C85" t="str">
        <x:v>QB12</x:v>
      </x:c>
      <x:c r="D85" t="str">
        <x:v>QB</x:v>
      </x:c>
      <x:c r="E85" s="2" t="n">
        <x:v>89</x:v>
      </x:c>
      <x:c r="F85" s="20" t="n">
        <x:v>7</x:v>
      </x:c>
      <x:c r="G85" t="n">
        <x:v>92</x:v>
      </x:c>
      <x:c r="H85" s="27" t="n">
        <x:v>5.33</x:v>
      </x:c>
      <x:c r="I85" s="27" t="n">
        <x:v>1.67</x:v>
      </x:c>
      <x:c r="J85" s="28" t="n">
        <x:v>-3</x:v>
      </x:c>
      <x:c r="K85" s="35" t="n">
        <x:v>1.07</x:v>
      </x:c>
      <x:c r="L85" t="str">
        <x:v>👍 SLIGHT VALUE</x:v>
      </x:c>
    </x:row>
    <x:row r="86">
      <x:c r="A86" t="n">
        <x:v>85</x:v>
      </x:c>
      <x:c r="B86" t="str">
        <x:v>Bhayshul Tuten</x:v>
      </x:c>
      <x:c r="C86" t="str">
        <x:v>RB24</x:v>
      </x:c>
      <x:c r="D86" t="str">
        <x:v>RB</x:v>
      </x:c>
      <x:c r="E86" s="2" t="n">
        <x:v>57</x:v>
      </x:c>
      <x:c r="F86" s="20" t="n">
        <x:v>18</x:v>
      </x:c>
      <x:c r="G86" t="n">
        <x:v>48</x:v>
      </x:c>
      <x:c r="H86" s="27" t="n">
        <x:v>18.77</x:v>
      </x:c>
      <x:c r="I86" s="27" t="n">
        <x:v>-0.77</x:v>
      </x:c>
      <x:c r="J86" s="28" t="n">
        <x:v>9</x:v>
      </x:c>
      <x:c r="K86" s="35" t="n">
        <x:v>1.03</x:v>
      </x:c>
      <x:c r="L86" t="str">
        <x:v>✅ VALUE</x:v>
      </x:c>
    </x:row>
    <x:row r="87">
      <x:c r="A87" t="n">
        <x:v>86</x:v>
      </x:c>
      <x:c r="B87" t="str">
        <x:v>A.J. Brown</x:v>
      </x:c>
      <x:c r="C87" t="str">
        <x:v>WR9</x:v>
      </x:c>
      <x:c r="D87" t="str">
        <x:v>WR</x:v>
      </x:c>
      <x:c r="E87" s="2" t="n">
        <x:v>23</x:v>
      </x:c>
      <x:c r="F87" s="20" t="n">
        <x:v>33</x:v>
      </x:c>
      <x:c r="G87" t="n">
        <x:v>19</x:v>
      </x:c>
      <x:c r="H87" s="27" t="n">
        <x:v>33.05</x:v>
      </x:c>
      <x:c r="I87" s="27" t="n">
        <x:v>-0.05</x:v>
      </x:c>
      <x:c r="J87" s="28" t="n">
        <x:v>4</x:v>
      </x:c>
      <x:c r="K87" s="35" t="n">
        <x:v>0.75</x:v>
      </x:c>
      <x:c r="L87" t="str">
        <x:v>👍 SLIGHT VALUE</x:v>
      </x:c>
    </x:row>
    <x:row r="88">
      <x:c r="A88" t="n">
        <x:v>87</x:v>
      </x:c>
      <x:c r="B88" t="str">
        <x:v>Dalton Kincaid</x:v>
      </x:c>
      <x:c r="C88" t="str">
        <x:v>TE9</x:v>
      </x:c>
      <x:c r="D88" t="str">
        <x:v>TE</x:v>
      </x:c>
      <x:c r="E88" s="2" t="n">
        <x:v>115</x:v>
      </x:c>
      <x:c r="F88" s="20" t="n">
        <x:v>3</x:v>
      </x:c>
      <x:c r="G88" t="n">
        <x:v>127</x:v>
      </x:c>
      <x:c r="H88" s="27" t="n">
        <x:v>0</x:v>
      </x:c>
      <x:c r="I88" s="27" t="n">
        <x:v>3</x:v>
      </x:c>
      <x:c r="J88" s="28" t="n">
        <x:v>-12</x:v>
      </x:c>
      <x:c r="K88" s="35" t="n">
        <x:v>0.6</x:v>
      </x:c>
      <x:c r="L88" t="str">
        <x:v>👍 SLIGHT VALUE</x:v>
      </x:c>
    </x:row>
    <x:row r="89">
      <x:c r="A89" t="n">
        <x:v>88</x:v>
      </x:c>
      <x:c r="B89" t="str">
        <x:v>Breece Hall</x:v>
      </x:c>
      <x:c r="C89" t="str">
        <x:v>RB16</x:v>
      </x:c>
      <x:c r="D89" t="str">
        <x:v>RB</x:v>
      </x:c>
      <x:c r="E89" s="2" t="n">
        <x:v>34</x:v>
      </x:c>
      <x:c r="F89" s="20" t="n">
        <x:v>28</x:v>
      </x:c>
      <x:c r="G89" t="n">
        <x:v>29</x:v>
      </x:c>
      <x:c r="H89" s="27" t="n">
        <x:v>28.43</x:v>
      </x:c>
      <x:c r="I89" s="27" t="n">
        <x:v>-0.43</x:v>
      </x:c>
      <x:c r="J89" s="28" t="n">
        <x:v>5</x:v>
      </x:c>
      <x:c r="K89" s="35" t="n">
        <x:v>0.57</x:v>
      </x:c>
      <x:c r="L89" t="str">
        <x:v>👍 SLIGHT VALUE</x:v>
      </x:c>
    </x:row>
    <x:row r="90">
      <x:c r="A90" t="n">
        <x:v>89</x:v>
      </x:c>
      <x:c r="B90" t="str">
        <x:v>Travis Etienne Jr.</x:v>
      </x:c>
      <x:c r="C90" t="str">
        <x:v>RB17</x:v>
      </x:c>
      <x:c r="D90" t="str">
        <x:v>RB</x:v>
      </x:c>
      <x:c r="E90" s="2" t="n">
        <x:v>40</x:v>
      </x:c>
      <x:c r="F90" s="20" t="n">
        <x:v>25</x:v>
      </x:c>
      <x:c r="G90" t="n">
        <x:v>35</x:v>
      </x:c>
      <x:c r="H90" s="27" t="n">
        <x:v>25.91</x:v>
      </x:c>
      <x:c r="I90" s="27" t="n">
        <x:v>-0.91</x:v>
      </x:c>
      <x:c r="J90" s="28" t="n">
        <x:v>5</x:v>
      </x:c>
      <x:c r="K90" s="35" t="n">
        <x:v>0.09</x:v>
      </x:c>
      <x:c r="L90" t="str">
        <x:v>👍 SLIGHT VALUE</x:v>
      </x:c>
    </x:row>
    <x:row r="91">
      <x:c r="A91" t="n">
        <x:v>90</x:v>
      </x:c>
      <x:c r="B91" t="str">
        <x:v>Nico Collins</x:v>
      </x:c>
      <x:c r="C91" t="str">
        <x:v>WR12</x:v>
      </x:c>
      <x:c r="D91" t="str">
        <x:v>WR</x:v>
      </x:c>
      <x:c r="E91" s="2" t="n">
        <x:v>26</x:v>
      </x:c>
      <x:c r="F91" s="20" t="n">
        <x:v>31</x:v>
      </x:c>
      <x:c r="G91" t="n">
        <x:v>22</x:v>
      </x:c>
      <x:c r="H91" s="27" t="n">
        <x:v>31.79</x:v>
      </x:c>
      <x:c r="I91" s="27" t="n">
        <x:v>-0.79</x:v>
      </x:c>
      <x:c r="J91" s="28" t="n">
        <x:v>4</x:v>
      </x:c>
      <x:c r="K91" s="35" t="n">
        <x:v>0.01</x:v>
      </x:c>
      <x:c r="L91" t="str">
        <x:v>👍 SLIGHT VALUE</x:v>
      </x:c>
    </x:row>
    <x:row r="92">
      <x:c r="A92" t="n">
        <x:v>91</x:v>
      </x:c>
      <x:c r="B92" t="str">
        <x:v>Jeremiyah Love</x:v>
      </x:c>
      <x:c r="C92" t="str">
        <x:v>RB14</x:v>
      </x:c>
      <x:c r="D92" t="str">
        <x:v>RB</x:v>
      </x:c>
      <x:c r="E92" s="2" t="n">
        <x:v>31</x:v>
      </x:c>
      <x:c r="F92" s="20" t="n">
        <x:v>29</x:v>
      </x:c>
      <x:c r="G92" t="n">
        <x:v>28</x:v>
      </x:c>
      <x:c r="H92" s="27" t="n">
        <x:v>29.69</x:v>
      </x:c>
      <x:c r="I92" s="27" t="n">
        <x:v>-0.69</x:v>
      </x:c>
      <x:c r="J92" s="28" t="n">
        <x:v>3</x:v>
      </x:c>
      <x:c r="K92" s="35" t="n">
        <x:v>-0.09</x:v>
      </x:c>
      <x:c r="L92" t="str">
        <x:v>👍 SLIGHT VALUE</x:v>
      </x:c>
    </x:row>
    <x:row r="93">
      <x:c r="A93" t="n">
        <x:v>92</x:v>
      </x:c>
      <x:c r="B93" t="str">
        <x:v>Garrett Wilson</x:v>
      </x:c>
      <x:c r="C93" t="str">
        <x:v>WR16</x:v>
      </x:c>
      <x:c r="D93" t="str">
        <x:v>WR</x:v>
      </x:c>
      <x:c r="E93" s="2" t="n">
        <x:v>32</x:v>
      </x:c>
      <x:c r="F93" s="20" t="n">
        <x:v>28</x:v>
      </x:c>
      <x:c r="G93" t="n">
        <x:v>29</x:v>
      </x:c>
      <x:c r="H93" s="27" t="n">
        <x:v>29.27</x:v>
      </x:c>
      <x:c r="I93" s="27" t="n">
        <x:v>-1.27</x:v>
      </x:c>
      <x:c r="J93" s="28" t="n">
        <x:v>3</x:v>
      </x:c>
      <x:c r="K93" s="35" t="n">
        <x:v>-0.67</x:v>
      </x:c>
      <x:c r="L93" t="str">
        <x:v>👍 SLIGHT VALUE</x:v>
      </x:c>
    </x:row>
    <x:row r="94">
      <x:c r="A94" t="n">
        <x:v>93</x:v>
      </x:c>
      <x:c r="B94" t="str">
        <x:v>Tyler Warren</x:v>
      </x:c>
      <x:c r="C94" t="str">
        <x:v>TE4</x:v>
      </x:c>
      <x:c r="D94" t="str">
        <x:v>TE</x:v>
      </x:c>
      <x:c r="E94" s="2" t="n">
        <x:v>61</x:v>
      </x:c>
      <x:c r="F94" s="20" t="n">
        <x:v>15</x:v>
      </x:c>
      <x:c r="G94" t="n">
        <x:v>54</x:v>
      </x:c>
      <x:c r="H94" s="27" t="n">
        <x:v>17.09</x:v>
      </x:c>
      <x:c r="I94" s="27" t="n">
        <x:v>-2.09</x:v>
      </x:c>
      <x:c r="J94" s="28" t="n">
        <x:v>7</x:v>
      </x:c>
      <x:c r="K94" s="35" t="n">
        <x:v>-0.69</x:v>
      </x:c>
      <x:c r="L94" t="str">
        <x:v>✅ VALUE</x:v>
      </x:c>
    </x:row>
    <x:row r="95">
      <x:c r="A95" t="n">
        <x:v>94</x:v>
      </x:c>
      <x:c r="B95" t="str">
        <x:v>Rhamondre Stevenson</x:v>
      </x:c>
      <x:c r="C95" t="str">
        <x:v>RB28</x:v>
      </x:c>
      <x:c r="D95" t="str">
        <x:v>RB</x:v>
      </x:c>
      <x:c r="E95" s="2" t="n">
        <x:v>66</x:v>
      </x:c>
      <x:c r="F95" s="20" t="n">
        <x:v>13</x:v>
      </x:c>
      <x:c r="G95" t="n">
        <x:v>60</x:v>
      </x:c>
      <x:c r="H95" s="27" t="n">
        <x:v>14.99</x:v>
      </x:c>
      <x:c r="I95" s="27" t="n">
        <x:v>-1.99</x:v>
      </x:c>
      <x:c r="J95" s="28" t="n">
        <x:v>6</x:v>
      </x:c>
      <x:c r="K95" s="35" t="n">
        <x:v>-0.79</x:v>
      </x:c>
      <x:c r="L95" t="str">
        <x:v>👍 SLIGHT VALUE</x:v>
      </x:c>
    </x:row>
    <x:row r="96">
      <x:c r="A96" t="n">
        <x:v>95</x:v>
      </x:c>
      <x:c r="B96" t="str">
        <x:v>D'Andre Swift</x:v>
      </x:c>
      <x:c r="C96" t="str">
        <x:v>RB18</x:v>
      </x:c>
      <x:c r="D96" t="str">
        <x:v>RB</x:v>
      </x:c>
      <x:c r="E96" s="2" t="n">
        <x:v>45</x:v>
      </x:c>
      <x:c r="F96" s="20" t="n">
        <x:v>22</x:v>
      </x:c>
      <x:c r="G96" t="n">
        <x:v>40</x:v>
      </x:c>
      <x:c r="H96" s="27" t="n">
        <x:v>23.81</x:v>
      </x:c>
      <x:c r="I96" s="27" t="n">
        <x:v>-1.81</x:v>
      </x:c>
      <x:c r="J96" s="28" t="n">
        <x:v>5</x:v>
      </x:c>
      <x:c r="K96" s="35" t="n">
        <x:v>-0.81</x:v>
      </x:c>
      <x:c r="L96" t="str">
        <x:v>👍 SLIGHT VALUE</x:v>
      </x:c>
    </x:row>
    <x:row r="97">
      <x:c r="A97" t="n">
        <x:v>96</x:v>
      </x:c>
      <x:c r="B97" t="str">
        <x:v>Stefon Diggs</x:v>
      </x:c>
      <x:c r="C97" t="str">
        <x:v>WR41</x:v>
      </x:c>
      <x:c r="D97" t="str">
        <x:v>WR</x:v>
      </x:c>
      <x:c r="E97" s="2" t="n">
        <x:v>94</x:v>
      </x:c>
      <x:c r="F97" s="20" t="n">
        <x:v>5</x:v>
      </x:c>
      <x:c r="G97" t="n">
        <x:v>108</x:v>
      </x:c>
      <x:c r="H97" s="27" t="n">
        <x:v>3.23</x:v>
      </x:c>
      <x:c r="I97" s="27" t="n">
        <x:v>1.77</x:v>
      </x:c>
      <x:c r="J97" s="28" t="n">
        <x:v>-14</x:v>
      </x:c>
      <x:c r="K97" s="35" t="n">
        <x:v>-1.03</x:v>
      </x:c>
      <x:c r="L97" t="str">
        <x:v>👍 SLIGHT VALUE</x:v>
      </x:c>
    </x:row>
    <x:row r="98">
      <x:c r="A98" t="n">
        <x:v>97</x:v>
      </x:c>
      <x:c r="B98" t="str">
        <x:v>Kyler Murray</x:v>
      </x:c>
      <x:c r="C98" t="str">
        <x:v>QB17</x:v>
      </x:c>
      <x:c r="D98" t="str">
        <x:v>QB</x:v>
      </x:c>
      <x:c r="E98" s="2" t="n">
        <x:v>106</x:v>
      </x:c>
      <x:c r="F98" s="20" t="n">
        <x:v>3</x:v>
      </x:c>
      <x:c r="G98" t="n">
        <x:v>127</x:v>
      </x:c>
      <x:c r="H98" s="27" t="n">
        <x:v>0</x:v>
      </x:c>
      <x:c r="I98" s="27" t="n">
        <x:v>3</x:v>
      </x:c>
      <x:c r="J98" s="28" t="n">
        <x:v>-21</x:v>
      </x:c>
      <x:c r="K98" s="35" t="n">
        <x:v>-1.2</x:v>
      </x:c>
      <x:c r="L98" t="str">
        <x:v>👍 SLIGHT VALUE</x:v>
      </x:c>
    </x:row>
    <x:row r="99">
      <x:c r="A99" t="n">
        <x:v>98</x:v>
      </x:c>
      <x:c r="B99" t="str">
        <x:v>Jameson Williams</x:v>
      </x:c>
      <x:c r="C99" t="str">
        <x:v>WR25</x:v>
      </x:c>
      <x:c r="D99" t="str">
        <x:v>WR</x:v>
      </x:c>
      <x:c r="E99" s="2" t="n">
        <x:v>48</x:v>
      </x:c>
      <x:c r="F99" s="20" t="n">
        <x:v>20</x:v>
      </x:c>
      <x:c r="G99" t="n">
        <x:v>44</x:v>
      </x:c>
      <x:c r="H99" s="27" t="n">
        <x:v>22.55</x:v>
      </x:c>
      <x:c r="I99" s="27" t="n">
        <x:v>-2.55</x:v>
      </x:c>
      <x:c r="J99" s="28" t="n">
        <x:v>4</x:v>
      </x:c>
      <x:c r="K99" s="35" t="n">
        <x:v>-1.75</x:v>
      </x:c>
      <x:c r="L99" t="str">
        <x:v>👍 SLIGHT VALUE</x:v>
      </x:c>
    </x:row>
    <x:row r="100">
      <x:c r="A100" t="n">
        <x:v>99</x:v>
      </x:c>
      <x:c r="B100" t="str">
        <x:v>Jayden Daniels</x:v>
      </x:c>
      <x:c r="C100" t="str">
        <x:v>QB4</x:v>
      </x:c>
      <x:c r="D100" t="str">
        <x:v>QB</x:v>
      </x:c>
      <x:c r="E100" s="2" t="n">
        <x:v>63</x:v>
      </x:c>
      <x:c r="F100" s="20" t="n">
        <x:v>13</x:v>
      </x:c>
      <x:c r="G100" t="n">
        <x:v>60</x:v>
      </x:c>
      <x:c r="H100" s="27" t="n">
        <x:v>16.25</x:v>
      </x:c>
      <x:c r="I100" s="27" t="n">
        <x:v>-3.25</x:v>
      </x:c>
      <x:c r="J100" s="28" t="n">
        <x:v>3</x:v>
      </x:c>
      <x:c r="K100" s="35" t="n">
        <x:v>-2.65</x:v>
      </x:c>
      <x:c r="L100" t="str">
        <x:v>👍 SLIGHT VALUE</x:v>
      </x:c>
    </x:row>
    <x:row r="101">
      <x:c r="A101" t="n">
        <x:v>100</x:v>
      </x:c>
      <x:c r="B101" t="str">
        <x:v>Makai Lemon</x:v>
      </x:c>
      <x:c r="C101" t="str">
        <x:v>WR44</x:v>
      </x:c>
      <x:c r="D101" t="str">
        <x:v>WR</x:v>
      </x:c>
      <x:c r="E101" s="2" t="n">
        <x:v>105</x:v>
      </x:c>
      <x:c r="F101" s="20" t="n">
        <x:v>2</x:v>
      </x:c>
      <x:c r="G101" t="n">
        <x:v>136</x:v>
      </x:c>
      <x:c r="H101" s="27" t="n">
        <x:v>0</x:v>
      </x:c>
      <x:c r="I101" s="27" t="n">
        <x:v>2</x:v>
      </x:c>
      <x:c r="J101" s="28" t="n">
        <x:v>-31</x:v>
      </x:c>
      <x:c r="K101" s="35" t="n">
        <x:v>-4.2</x:v>
      </x:c>
      <x:c r="L101" t="str">
        <x:v>👍 SLIGHT VALUE</x:v>
      </x:c>
    </x:row>
    <x:row r="102">
      <x:c r="A102" t="n">
        <x:v>101</x:v>
      </x:c>
      <x:c r="B102" t="str">
        <x:v>Jared Goff</x:v>
      </x:c>
      <x:c r="C102" t="str">
        <x:v>QB15</x:v>
      </x:c>
      <x:c r="D102" t="str">
        <x:v>QB</x:v>
      </x:c>
      <x:c r="E102" s="2" t="n">
        <x:v>102</x:v>
      </x:c>
      <x:c r="F102" s="20" t="n">
        <x:v>2</x:v>
      </x:c>
      <x:c r="G102" t="n">
        <x:v>136</x:v>
      </x:c>
      <x:c r="H102" s="27" t="n">
        <x:v>0</x:v>
      </x:c>
      <x:c r="I102" s="27" t="n">
        <x:v>2</x:v>
      </x:c>
      <x:c r="J102" s="28" t="n">
        <x:v>-34</x:v>
      </x:c>
      <x:c r="K102" s="35" t="n">
        <x:v>-4.8</x:v>
      </x:c>
      <x:c r="L102" t="str">
        <x:v>👍 SLIGHT VALUE</x:v>
      </x:c>
    </x:row>
    <x:row r="103">
      <x:c r="A103"/>
      <x:c r="B103"/>
      <x:c r="C103"/>
      <x:c r="D103"/>
      <x:c r="E103" s="2"/>
      <x:c r="F103" s="20"/>
      <x:c r="G103"/>
      <x:c r="H103" s="27"/>
      <x:c r="I103" s="27"/>
      <x:c r="J103" s="28"/>
      <x:c r="K103" s="35"/>
      <x:c r="L103"/>
    </x:row>
    <x:row r="104">
      <x:c r="A104"/>
      <x:c r="B104"/>
      <x:c r="C104"/>
      <x:c r="D104"/>
      <x:c r="E104" s="2"/>
      <x:c r="F104" s="20"/>
      <x:c r="G104"/>
      <x:c r="H104" s="27"/>
      <x:c r="I104" s="27"/>
      <x:c r="J104" s="28"/>
      <x:c r="K104" s="35"/>
      <x:c r="L104"/>
    </x:row>
    <x:row r="105">
      <x:c r="A105" s="34" t="str">
        <x:v>HOW VALUE IS CALCULATED</x:v>
      </x:c>
      <x:c r="B105" s="34"/>
      <x:c r="C105" s="34"/>
      <x:c r="D105" s="34"/>
      <x:c r="E105" s="2"/>
      <x:c r="F105" s="20"/>
      <x:c r="G105"/>
      <x:c r="H105" s="27"/>
      <x:c r="I105" s="27"/>
      <x:c r="J105" s="28"/>
      <x:c r="K105" s="35"/>
      <x:c r="L105"/>
    </x:row>
    <x:row r="106">
      <x:c r="A106" t="str">
        <x:v>Auction $ Edge</x:v>
      </x:c>
      <x:c r="B106" t="str">
        <x:v>Auction $ minus expected $ at the player's DK draft rank</x:v>
      </x:c>
      <x:c r="C106"/>
      <x:c r="D106"/>
      <x:c r="E106" s="2"/>
      <x:c r="F106" s="20"/>
      <x:c r="G106"/>
      <x:c r="H106" s="27"/>
      <x:c r="I106" s="27"/>
      <x:c r="J106" s="28"/>
      <x:c r="K106" s="35"/>
      <x:c r="L106"/>
    </x:row>
    <x:row r="107">
      <x:c r="A107" t="str">
        <x:v>Auction Rank Edge</x:v>
      </x:c>
      <x:c r="B107" t="str">
        <x:v>DK Draft Rank minus Auction Rank (positive = auction ranks him earlier)</x:v>
      </x:c>
      <x:c r="C107"/>
      <x:c r="D107"/>
      <x:c r="E107" s="2"/>
      <x:c r="F107" s="20"/>
      <x:c r="G107"/>
      <x:c r="H107" s="27"/>
      <x:c r="I107" s="27"/>
      <x:c r="J107" s="28"/>
      <x:c r="K107" s="35"/>
      <x:c r="L107"/>
    </x:row>
    <x:row r="108">
      <x:c r="A108" t="str">
        <x:v>Value Score</x:v>
      </x:c>
      <x:c r="B108" t="str">
        <x:v>Auction $ Edge + 20% of Auction Rank Edge</x:v>
      </x:c>
      <x:c r="C108"/>
      <x:c r="D108"/>
      <x:c r="E108" s="2"/>
      <x:c r="F108" s="20"/>
      <x:c r="G108"/>
      <x:c r="H108" s="27"/>
      <x:c r="I108" s="27"/>
      <x:c r="J108" s="28"/>
      <x:c r="K108" s="35"/>
      <x:c r="L108"/>
    </x:row>
    <x:row r="109">
      <x:c r="A109" t="str">
        <x:v>Eligibility</x:v>
      </x:c>
      <x:c r="B109" t="str">
        <x:v>Only players with a positive auction dollar value are shown</x:v>
      </x:c>
      <x:c r="C109"/>
      <x:c r="D109"/>
      <x:c r="E109" s="2"/>
      <x:c r="F109" s="20"/>
      <x:c r="G109"/>
      <x:c r="H109" s="27"/>
      <x:c r="I109" s="27"/>
      <x:c r="J109" s="28"/>
      <x:c r="K109" s="35"/>
      <x:c r="L109"/>
    </x:row>
    <x:row r="110">
      <x:c r="A110" t="str">
        <x:v>Top labels</x:v>
      </x:c>
      <x:c r="B110" t="str">
        <x:v>Steal: $8+ edge or 15+ rank edge; Value: $4+ or 7+ rank edge</x:v>
      </x:c>
      <x:c r="C110"/>
      <x:c r="D110"/>
      <x:c r="E110" s="2"/>
      <x:c r="F110" s="20"/>
      <x:c r="G110"/>
      <x:c r="H110" s="27"/>
      <x:c r="I110" s="27"/>
      <x:c r="J110" s="28"/>
      <x:c r="K110" s="35"/>
      <x:c r="L110"/>
    </x:row>
    <x:row r="111">
      <x:c r="A111"/>
      <x:c r="B111"/>
      <x:c r="C111"/>
      <x:c r="D111"/>
      <x:c r="E111" s="2"/>
      <x:c r="F111" s="20"/>
      <x:c r="G111"/>
      <x:c r="H111" s="27"/>
      <x:c r="I111" s="27"/>
      <x:c r="J111" s="28"/>
      <x:c r="K111" s="35"/>
      <x:c r="L111"/>
    </x:row>
    <x:row r="112">
      <x:c r="A112"/>
      <x:c r="B112"/>
      <x:c r="C112"/>
      <x:c r="D112"/>
      <x:c r="E112" s="2"/>
      <x:c r="F112" s="20"/>
      <x:c r="G112"/>
      <x:c r="H112" s="27"/>
      <x:c r="I112" s="27"/>
      <x:c r="J112" s="28"/>
      <x:c r="K112" s="35"/>
      <x:c r="L112"/>
    </x:row>
    <x:row r="113">
      <x:c r="A113"/>
      <x:c r="B113"/>
      <x:c r="C113"/>
      <x:c r="D113"/>
      <x:c r="E113" s="2"/>
      <x:c r="F113" s="20"/>
      <x:c r="G113"/>
      <x:c r="H113" s="27"/>
      <x:c r="I113" s="27"/>
      <x:c r="J113" s="28"/>
      <x:c r="K113" s="35"/>
      <x:c r="L113"/>
    </x:row>
    <x:row r="114">
      <x:c r="A114"/>
      <x:c r="B114"/>
      <x:c r="C114"/>
      <x:c r="D114"/>
      <x:c r="E114" s="2"/>
      <x:c r="F114" s="20"/>
      <x:c r="G114"/>
      <x:c r="H114" s="27"/>
      <x:c r="I114" s="27"/>
      <x:c r="J114" s="28"/>
      <x:c r="K114" s="35"/>
      <x:c r="L114"/>
    </x:row>
    <x:row r="115">
      <x:c r="A115"/>
      <x:c r="B115"/>
      <x:c r="C115"/>
      <x:c r="D115"/>
      <x:c r="E115" s="2"/>
      <x:c r="F115" s="20"/>
      <x:c r="G115"/>
      <x:c r="H115" s="27"/>
      <x:c r="I115" s="27"/>
      <x:c r="J115" s="28"/>
      <x:c r="K115" s="35"/>
      <x:c r="L115"/>
    </x:row>
    <x:row r="116">
      <x:c r="A116"/>
      <x:c r="B116"/>
      <x:c r="C116"/>
      <x:c r="D116"/>
      <x:c r="E116" s="2"/>
      <x:c r="F116" s="20"/>
      <x:c r="G116"/>
      <x:c r="H116" s="27"/>
      <x:c r="I116" s="27"/>
      <x:c r="J116" s="28"/>
      <x:c r="K116" s="35"/>
      <x:c r="L116"/>
    </x:row>
    <x:row r="117">
      <x:c r="A117"/>
      <x:c r="B117"/>
      <x:c r="C117"/>
      <x:c r="D117"/>
      <x:c r="E117" s="2"/>
      <x:c r="F117" s="20"/>
      <x:c r="G117"/>
      <x:c r="H117" s="27"/>
      <x:c r="I117" s="27"/>
      <x:c r="J117" s="28"/>
      <x:c r="K117" s="35"/>
      <x:c r="L117"/>
    </x:row>
    <x:row r="118">
      <x:c r="A118"/>
      <x:c r="B118"/>
      <x:c r="C118"/>
      <x:c r="D118"/>
      <x:c r="E118" s="2"/>
      <x:c r="F118" s="20"/>
      <x:c r="G118"/>
      <x:c r="H118" s="27"/>
      <x:c r="I118" s="27"/>
      <x:c r="J118" s="28"/>
      <x:c r="K118" s="35"/>
      <x:c r="L118"/>
    </x:row>
    <x:row r="119">
      <x:c r="A119"/>
      <x:c r="B119"/>
      <x:c r="C119"/>
      <x:c r="D119"/>
      <x:c r="E119" s="2"/>
      <x:c r="F119" s="20"/>
      <x:c r="G119"/>
      <x:c r="H119" s="27"/>
      <x:c r="I119" s="27"/>
      <x:c r="J119" s="28"/>
      <x:c r="K119" s="35"/>
      <x:c r="L119"/>
    </x:row>
    <x:row r="120">
      <x:c r="A120"/>
      <x:c r="B120"/>
      <x:c r="C120"/>
      <x:c r="D120"/>
      <x:c r="E120" s="2"/>
      <x:c r="F120" s="20"/>
      <x:c r="G120"/>
      <x:c r="H120" s="27"/>
      <x:c r="I120" s="27"/>
      <x:c r="J120" s="28"/>
      <x:c r="K120" s="35"/>
      <x:c r="L120"/>
    </x:row>
    <x:row r="121">
      <x:c r="A121"/>
      <x:c r="B121"/>
      <x:c r="C121"/>
      <x:c r="D121"/>
      <x:c r="E121" s="2"/>
      <x:c r="F121" s="20"/>
      <x:c r="G121"/>
      <x:c r="H121" s="27"/>
      <x:c r="I121" s="27"/>
      <x:c r="J121" s="28"/>
      <x:c r="K121" s="35"/>
      <x:c r="L121"/>
    </x:row>
    <x:row r="122">
      <x:c r="A122"/>
      <x:c r="B122"/>
      <x:c r="C122"/>
      <x:c r="D122"/>
      <x:c r="E122" s="2"/>
      <x:c r="F122" s="20"/>
      <x:c r="G122"/>
      <x:c r="H122" s="27"/>
      <x:c r="I122" s="27"/>
      <x:c r="J122" s="28"/>
      <x:c r="K122" s="35"/>
      <x:c r="L122"/>
    </x:row>
    <x:row r="123">
      <x:c r="A123"/>
      <x:c r="B123"/>
      <x:c r="C123"/>
      <x:c r="D123"/>
      <x:c r="E123" s="2"/>
      <x:c r="F123" s="20"/>
      <x:c r="G123"/>
      <x:c r="H123" s="27"/>
      <x:c r="I123" s="27"/>
      <x:c r="J123" s="28"/>
      <x:c r="K123" s="35"/>
      <x:c r="L123"/>
    </x:row>
    <x:row r="124">
      <x:c r="A124"/>
      <x:c r="B124"/>
      <x:c r="C124"/>
      <x:c r="D124"/>
      <x:c r="E124" s="2"/>
      <x:c r="F124" s="20"/>
      <x:c r="G124"/>
      <x:c r="H124" s="27"/>
      <x:c r="I124" s="27"/>
      <x:c r="J124" s="28"/>
      <x:c r="K124" s="35"/>
      <x:c r="L124"/>
    </x:row>
    <x:row r="125">
      <x:c r="A125"/>
      <x:c r="B125"/>
      <x:c r="C125"/>
      <x:c r="D125"/>
      <x:c r="E125" s="2"/>
      <x:c r="F125" s="20"/>
      <x:c r="G125"/>
      <x:c r="H125" s="27"/>
      <x:c r="I125" s="27"/>
      <x:c r="J125" s="28"/>
      <x:c r="K125" s="35"/>
      <x:c r="L125"/>
    </x:row>
    <x:row r="126">
      <x:c r="A126"/>
      <x:c r="B126"/>
      <x:c r="C126"/>
      <x:c r="D126"/>
      <x:c r="E126" s="2"/>
      <x:c r="F126" s="20"/>
      <x:c r="G126"/>
      <x:c r="H126" s="27"/>
      <x:c r="I126" s="27"/>
      <x:c r="J126" s="28"/>
      <x:c r="K126" s="35"/>
      <x:c r="L126"/>
    </x:row>
    <x:row r="127">
      <x:c r="A127"/>
      <x:c r="B127"/>
      <x:c r="C127"/>
      <x:c r="D127"/>
      <x:c r="E127" s="2"/>
      <x:c r="F127" s="20"/>
      <x:c r="G127"/>
      <x:c r="H127" s="27"/>
      <x:c r="I127" s="27"/>
      <x:c r="J127" s="28"/>
      <x:c r="K127" s="35"/>
      <x:c r="L127"/>
    </x:row>
    <x:row r="128">
      <x:c r="A128"/>
      <x:c r="B128"/>
      <x:c r="C128"/>
      <x:c r="D128"/>
      <x:c r="E128" s="2"/>
      <x:c r="F128" s="20"/>
      <x:c r="G128"/>
      <x:c r="H128" s="27"/>
      <x:c r="I128" s="27"/>
      <x:c r="J128" s="28"/>
      <x:c r="K128" s="35"/>
      <x:c r="L128"/>
    </x:row>
    <x:row r="129">
      <x:c r="A129"/>
      <x:c r="B129"/>
      <x:c r="C129"/>
      <x:c r="D129"/>
      <x:c r="E129" s="2"/>
      <x:c r="F129" s="20"/>
      <x:c r="G129"/>
      <x:c r="H129" s="27"/>
      <x:c r="I129" s="27"/>
      <x:c r="J129" s="28"/>
      <x:c r="K129" s="35"/>
      <x:c r="L129"/>
    </x:row>
    <x:row r="130">
      <x:c r="A130"/>
      <x:c r="B130"/>
      <x:c r="C130"/>
      <x:c r="D130"/>
      <x:c r="E130" s="2"/>
      <x:c r="F130" s="20"/>
      <x:c r="G130"/>
      <x:c r="H130" s="27"/>
      <x:c r="I130" s="27"/>
      <x:c r="J130" s="28"/>
      <x:c r="K130" s="35"/>
      <x:c r="L130"/>
    </x:row>
    <x:row r="131">
      <x:c r="A131"/>
      <x:c r="B131"/>
      <x:c r="C131"/>
      <x:c r="D131"/>
      <x:c r="E131" s="2"/>
      <x:c r="F131" s="20"/>
      <x:c r="G131"/>
      <x:c r="H131" s="27"/>
      <x:c r="I131" s="27"/>
      <x:c r="J131" s="28"/>
      <x:c r="K131" s="35"/>
      <x:c r="L131"/>
    </x:row>
    <x:row r="132">
      <x:c r="A132"/>
      <x:c r="B132"/>
      <x:c r="C132"/>
      <x:c r="D132"/>
      <x:c r="E132" s="2"/>
      <x:c r="F132" s="20"/>
      <x:c r="G132"/>
      <x:c r="H132" s="27"/>
      <x:c r="I132" s="27"/>
      <x:c r="J132" s="28"/>
      <x:c r="K132" s="35"/>
      <x:c r="L132"/>
    </x:row>
    <x:row r="133">
      <x:c r="A133"/>
      <x:c r="B133"/>
      <x:c r="C133"/>
      <x:c r="D133"/>
      <x:c r="E133" s="2"/>
      <x:c r="F133" s="20"/>
      <x:c r="G133"/>
      <x:c r="H133" s="27"/>
      <x:c r="I133" s="27"/>
      <x:c r="J133" s="28"/>
      <x:c r="K133" s="35"/>
      <x:c r="L133"/>
    </x:row>
    <x:row r="134">
      <x:c r="A134"/>
      <x:c r="B134"/>
      <x:c r="C134"/>
      <x:c r="D134"/>
      <x:c r="E134" s="2"/>
      <x:c r="F134" s="20"/>
      <x:c r="G134"/>
      <x:c r="H134" s="27"/>
      <x:c r="I134" s="27"/>
      <x:c r="J134" s="28"/>
      <x:c r="K134" s="35"/>
      <x:c r="L134"/>
    </x:row>
    <x:row r="135">
      <x:c r="A135"/>
      <x:c r="B135"/>
      <x:c r="C135"/>
      <x:c r="D135"/>
      <x:c r="E135" s="2"/>
      <x:c r="F135" s="20"/>
      <x:c r="G135"/>
      <x:c r="H135" s="27"/>
      <x:c r="I135" s="27"/>
      <x:c r="J135" s="28"/>
      <x:c r="K135" s="35"/>
      <x:c r="L135"/>
    </x:row>
    <x:row r="136">
      <x:c r="A136"/>
      <x:c r="B136"/>
      <x:c r="C136"/>
      <x:c r="D136"/>
      <x:c r="E136" s="2"/>
      <x:c r="F136" s="20"/>
      <x:c r="G136"/>
      <x:c r="H136" s="27"/>
      <x:c r="I136" s="27"/>
      <x:c r="J136" s="28"/>
      <x:c r="K136" s="35"/>
      <x:c r="L136"/>
    </x:row>
    <x:row r="137">
      <x:c r="A137"/>
      <x:c r="B137"/>
      <x:c r="C137"/>
      <x:c r="D137"/>
      <x:c r="E137" s="2"/>
      <x:c r="F137" s="20"/>
      <x:c r="G137"/>
      <x:c r="H137" s="27"/>
      <x:c r="I137" s="27"/>
      <x:c r="J137" s="28"/>
      <x:c r="K137" s="35"/>
      <x:c r="L137"/>
    </x:row>
    <x:row r="138">
      <x:c r="A138"/>
      <x:c r="B138"/>
      <x:c r="C138"/>
      <x:c r="D138"/>
      <x:c r="E138" s="2"/>
      <x:c r="F138" s="20"/>
      <x:c r="G138"/>
      <x:c r="H138" s="27"/>
      <x:c r="I138" s="27"/>
      <x:c r="J138" s="28"/>
      <x:c r="K138" s="35"/>
      <x:c r="L138"/>
    </x:row>
    <x:row r="139">
      <x:c r="A139"/>
      <x:c r="B139"/>
      <x:c r="C139"/>
      <x:c r="D139"/>
      <x:c r="E139" s="2"/>
      <x:c r="F139" s="20"/>
      <x:c r="G139"/>
      <x:c r="H139" s="27"/>
      <x:c r="I139" s="27"/>
      <x:c r="J139" s="28"/>
      <x:c r="K139" s="35"/>
      <x:c r="L139"/>
    </x:row>
    <x:row r="140">
      <x:c r="A140"/>
      <x:c r="B140"/>
      <x:c r="C140"/>
      <x:c r="D140"/>
      <x:c r="E140" s="2"/>
      <x:c r="F140" s="20"/>
      <x:c r="G140"/>
      <x:c r="H140" s="27"/>
      <x:c r="I140" s="27"/>
      <x:c r="J140" s="28"/>
      <x:c r="K140" s="35"/>
      <x:c r="L140"/>
    </x:row>
    <x:row r="141">
      <x:c r="A141"/>
      <x:c r="B141"/>
      <x:c r="C141"/>
      <x:c r="D141"/>
      <x:c r="E141" s="2"/>
      <x:c r="F141" s="20"/>
      <x:c r="G141"/>
      <x:c r="H141" s="27"/>
      <x:c r="I141" s="27"/>
      <x:c r="J141" s="28"/>
      <x:c r="K141" s="35"/>
      <x:c r="L141"/>
    </x:row>
    <x:row r="142">
      <x:c r="A142"/>
      <x:c r="B142"/>
      <x:c r="C142"/>
      <x:c r="D142"/>
      <x:c r="E142" s="2"/>
      <x:c r="F142" s="20"/>
      <x:c r="G142"/>
      <x:c r="H142" s="27"/>
      <x:c r="I142" s="27"/>
      <x:c r="J142" s="28"/>
      <x:c r="K142" s="35"/>
      <x:c r="L142"/>
    </x:row>
    <x:row r="143">
      <x:c r="A143"/>
      <x:c r="B143"/>
      <x:c r="C143"/>
      <x:c r="D143"/>
      <x:c r="E143" s="2"/>
      <x:c r="F143" s="20"/>
      <x:c r="G143"/>
      <x:c r="H143" s="27"/>
      <x:c r="I143" s="27"/>
      <x:c r="J143" s="28"/>
      <x:c r="K143" s="35"/>
      <x:c r="L143"/>
    </x:row>
    <x:row r="144">
      <x:c r="A144"/>
      <x:c r="B144"/>
      <x:c r="C144"/>
      <x:c r="D144"/>
      <x:c r="E144" s="2"/>
      <x:c r="F144" s="20"/>
      <x:c r="G144"/>
      <x:c r="H144" s="27"/>
      <x:c r="I144" s="27"/>
      <x:c r="J144" s="28"/>
      <x:c r="K144" s="35"/>
      <x:c r="L144"/>
    </x:row>
    <x:row r="145">
      <x:c r="A145"/>
      <x:c r="B145"/>
      <x:c r="C145"/>
      <x:c r="D145"/>
      <x:c r="E145" s="2"/>
      <x:c r="F145" s="20"/>
      <x:c r="G145"/>
      <x:c r="H145" s="27"/>
      <x:c r="I145" s="27"/>
      <x:c r="J145" s="28"/>
      <x:c r="K145" s="35"/>
      <x:c r="L145"/>
    </x:row>
    <x:row r="146">
      <x:c r="A146"/>
      <x:c r="B146"/>
      <x:c r="C146"/>
      <x:c r="D146"/>
      <x:c r="E146"/>
      <x:c r="F146" s="20"/>
      <x:c r="G146"/>
      <x:c r="H146" s="27"/>
      <x:c r="I146" s="27"/>
      <x:c r="J146" s="28"/>
      <x:c r="K146" s="35"/>
      <x:c r="L146"/>
    </x:row>
    <x:row r="147">
      <x:c r="A147"/>
      <x:c r="B147"/>
      <x:c r="C147"/>
      <x:c r="D147"/>
      <x:c r="E147"/>
      <x:c r="F147" s="20"/>
      <x:c r="G147"/>
      <x:c r="H147" s="27"/>
      <x:c r="I147" s="27"/>
      <x:c r="J147" s="28"/>
      <x:c r="K147" s="35"/>
      <x:c r="L147"/>
    </x:row>
    <x:row r="148">
      <x:c r="A148"/>
      <x:c r="B148"/>
      <x:c r="C148"/>
      <x:c r="D148"/>
      <x:c r="E148"/>
      <x:c r="F148" s="20"/>
      <x:c r="G148"/>
      <x:c r="H148" s="27"/>
      <x:c r="I148" s="27"/>
      <x:c r="J148" s="28"/>
      <x:c r="K148" s="35"/>
      <x:c r="L148"/>
    </x:row>
    <x:row r="149">
      <x:c r="A149"/>
      <x:c r="B149"/>
      <x:c r="C149"/>
      <x:c r="D149"/>
      <x:c r="E149"/>
      <x:c r="F149" s="20"/>
      <x:c r="G149"/>
      <x:c r="H149" s="27"/>
      <x:c r="I149" s="27"/>
      <x:c r="J149" s="28"/>
      <x:c r="K149" s="35"/>
      <x:c r="L149"/>
    </x:row>
    <x:row r="150">
      <x:c r="A150"/>
      <x:c r="B150"/>
      <x:c r="C150"/>
      <x:c r="D150"/>
      <x:c r="E150"/>
      <x:c r="F150" s="20"/>
      <x:c r="G150"/>
      <x:c r="H150" s="27"/>
      <x:c r="I150" s="27"/>
      <x:c r="J150" s="28"/>
      <x:c r="K150" s="35"/>
      <x:c r="L150"/>
    </x:row>
    <x:row r="151">
      <x:c r="A151"/>
      <x:c r="B151"/>
      <x:c r="C151"/>
      <x:c r="D151"/>
      <x:c r="E151"/>
      <x:c r="F151" s="20"/>
      <x:c r="G151"/>
      <x:c r="H151" s="27"/>
      <x:c r="I151" s="27"/>
      <x:c r="J151" s="28"/>
      <x:c r="K151" s="35"/>
      <x:c r="L151"/>
    </x:row>
    <x:row r="152">
      <x:c r="A152"/>
      <x:c r="B152"/>
      <x:c r="C152"/>
      <x:c r="D152"/>
      <x:c r="E152"/>
      <x:c r="F152" s="20"/>
      <x:c r="G152"/>
      <x:c r="H152" s="27"/>
      <x:c r="I152" s="27"/>
      <x:c r="J152" s="28"/>
      <x:c r="K152" s="35"/>
      <x:c r="L152"/>
    </x:row>
    <x:row r="153">
      <x:c r="A153"/>
      <x:c r="B153"/>
      <x:c r="C153"/>
      <x:c r="D153"/>
      <x:c r="E153"/>
      <x:c r="F153" s="20"/>
      <x:c r="G153"/>
      <x:c r="H153" s="27"/>
      <x:c r="I153" s="27"/>
      <x:c r="J153" s="28"/>
      <x:c r="K153" s="35"/>
      <x:c r="L153"/>
    </x:row>
    <x:row r="154">
      <x:c r="A154"/>
      <x:c r="B154"/>
      <x:c r="C154"/>
      <x:c r="D154"/>
      <x:c r="E154"/>
      <x:c r="F154" s="20"/>
      <x:c r="G154"/>
      <x:c r="H154" s="27"/>
      <x:c r="I154" s="27"/>
      <x:c r="J154" s="28"/>
      <x:c r="K154" s="35"/>
      <x:c r="L154"/>
    </x:row>
    <x:row r="155">
      <x:c r="A155"/>
      <x:c r="B155"/>
      <x:c r="C155"/>
      <x:c r="D155"/>
      <x:c r="E155"/>
      <x:c r="F155" s="20"/>
      <x:c r="G155"/>
      <x:c r="H155" s="27"/>
      <x:c r="I155" s="27"/>
      <x:c r="J155" s="28"/>
      <x:c r="K155" s="35"/>
      <x:c r="L155"/>
    </x:row>
    <x:row r="156">
      <x:c r="A156"/>
      <x:c r="B156"/>
      <x:c r="C156"/>
      <x:c r="D156"/>
      <x:c r="E156"/>
      <x:c r="F156" s="20"/>
      <x:c r="G156"/>
      <x:c r="H156" s="27"/>
      <x:c r="I156" s="27"/>
      <x:c r="J156" s="28"/>
      <x:c r="K156" s="35"/>
      <x:c r="L156"/>
    </x:row>
    <x:row r="157">
      <x:c r="A157"/>
      <x:c r="B157"/>
      <x:c r="C157"/>
      <x:c r="D157"/>
      <x:c r="E157"/>
      <x:c r="F157" s="20"/>
      <x:c r="G157"/>
      <x:c r="H157" s="27"/>
      <x:c r="I157" s="27"/>
      <x:c r="J157" s="28"/>
      <x:c r="K157" s="35"/>
      <x:c r="L157"/>
    </x:row>
    <x:row r="158">
      <x:c r="A158"/>
      <x:c r="B158"/>
      <x:c r="C158"/>
      <x:c r="D158"/>
      <x:c r="E158"/>
      <x:c r="F158" s="20"/>
      <x:c r="G158"/>
      <x:c r="H158" s="27"/>
      <x:c r="I158" s="27"/>
      <x:c r="J158" s="28"/>
      <x:c r="K158" s="35"/>
      <x:c r="L158"/>
    </x:row>
    <x:row r="159">
      <x:c r="A159"/>
      <x:c r="B159"/>
      <x:c r="C159"/>
      <x:c r="D159"/>
      <x:c r="E159"/>
      <x:c r="F159" s="20"/>
      <x:c r="G159"/>
      <x:c r="H159" s="27"/>
      <x:c r="I159" s="27"/>
      <x:c r="J159" s="28"/>
      <x:c r="K159" s="35"/>
      <x:c r="L159"/>
    </x:row>
    <x:row r="160">
      <x:c r="A160"/>
      <x:c r="B160"/>
      <x:c r="C160"/>
      <x:c r="D160"/>
      <x:c r="E160"/>
      <x:c r="F160" s="20"/>
      <x:c r="G160"/>
      <x:c r="H160" s="27"/>
      <x:c r="I160" s="27"/>
      <x:c r="J160" s="28"/>
      <x:c r="K160" s="35"/>
      <x:c r="L160"/>
    </x:row>
    <x:row r="161">
      <x:c r="A161"/>
      <x:c r="B161"/>
      <x:c r="C161"/>
      <x:c r="D161"/>
      <x:c r="E161"/>
      <x:c r="F161" s="20"/>
      <x:c r="G161"/>
      <x:c r="H161" s="27"/>
      <x:c r="I161" s="27"/>
      <x:c r="J161" s="28"/>
      <x:c r="K161" s="35"/>
      <x:c r="L161"/>
    </x:row>
    <x:row r="162">
      <x:c r="A162"/>
      <x:c r="B162"/>
      <x:c r="C162"/>
      <x:c r="D162"/>
      <x:c r="E162"/>
      <x:c r="F162" s="20"/>
      <x:c r="G162"/>
      <x:c r="H162" s="27"/>
      <x:c r="I162" s="27"/>
      <x:c r="J162" s="28"/>
      <x:c r="K162" s="35"/>
      <x:c r="L162"/>
    </x:row>
    <x:row r="163">
      <x:c r="A163"/>
      <x:c r="B163"/>
      <x:c r="C163"/>
      <x:c r="D163"/>
      <x:c r="E163"/>
      <x:c r="F163" s="20"/>
      <x:c r="G163"/>
      <x:c r="H163" s="27"/>
      <x:c r="I163" s="27"/>
      <x:c r="J163" s="28"/>
      <x:c r="K163" s="35"/>
      <x:c r="L163"/>
    </x:row>
    <x:row r="164">
      <x:c r="A164"/>
      <x:c r="B164"/>
      <x:c r="C164"/>
      <x:c r="D164"/>
      <x:c r="E164"/>
      <x:c r="F164" s="20"/>
      <x:c r="G164"/>
      <x:c r="H164" s="27"/>
      <x:c r="I164" s="27"/>
      <x:c r="J164" s="28"/>
      <x:c r="K164" s="35"/>
      <x:c r="L164"/>
    </x:row>
    <x:row r="167">
      <x:c r="A167" s="34"/>
      <x:c r="B167" s="34"/>
      <x:c r="C167" s="34"/>
      <x:c r="D167" s="34"/>
    </x:row>
    <x:row r="168">
      <x:c r="A168"/>
      <x:c r="B168"/>
      <x:c r="C168"/>
      <x:c r="D168"/>
    </x:row>
    <x:row r="169">
      <x:c r="A169"/>
      <x:c r="B169"/>
      <x:c r="C169"/>
      <x:c r="D169"/>
    </x:row>
    <x:row r="170">
      <x:c r="A170"/>
      <x:c r="B170"/>
      <x:c r="C170"/>
      <x:c r="D170"/>
    </x:row>
    <x:row r="171">
      <x:c r="A171"/>
      <x:c r="B171"/>
      <x:c r="C171"/>
      <x:c r="D171"/>
    </x:row>
    <x:row r="172">
      <x:c r="A172"/>
      <x:c r="B172"/>
      <x:c r="C172"/>
      <x:c r="D172"/>
    </x:row>
  </x:sheetData>
  <x:conditionalFormatting sqref="G2:G145">
    <x:cfRule type="colorScale" priority="50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2:G80">
    <x:cfRule type="colorScale" priority="51">
      <x:colorScale>
        <x:cfvo type="min"/>
        <x:cfvo type="percentile" val="50"/>
        <x:cfvo type="max"/>
        <x:color rgb="FFFFF2CC"/>
        <x:color rgb="FFC6E0B4"/>
        <x:color rgb="FF70AD47"/>
      </x:colorScale>
    </x:cfRule>
  </x:conditionalFormatting>
  <x:conditionalFormatting sqref="I2:I164">
    <x:cfRule type="colorScale" priority="52">
      <x:colorScale>
        <x:cfvo type="min"/>
        <x:cfvo type="percentile" val="50"/>
        <x:cfvo type="max"/>
        <x:color rgb="FFFFF2CC"/>
        <x:color rgb="FFD9EAD3"/>
        <x:color rgb="FF93C47D"/>
      </x:colorScale>
    </x:cfRule>
  </x:conditionalFormatting>
  <x:conditionalFormatting sqref="K2:K164">
    <x:cfRule type="dataBar" priority="5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{7BF1F8CB-CE3D-0524-0D3E-24A1B5D84473}</x14:id>
        </x:ext>
      </x:extLst>
    </x:cfRule>
  </x:conditionalFormatting>
  <x:conditionalFormatting sqref="I2:I102">
    <x:cfRule type="colorScale" priority="54">
      <x:colorScale>
        <x:cfvo type="min"/>
        <x:cfvo type="percentile" val="50"/>
        <x:cfvo type="max"/>
        <x:color rgb="FFFFF2CC"/>
        <x:color rgb="FFD9EAD3"/>
        <x:color rgb="FF93C47D"/>
      </x:colorScale>
    </x:cfRule>
  </x:conditionalFormatting>
  <x:conditionalFormatting sqref="K2:K102">
    <x:cfRule type="dataBar" priority="55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{FC6F814A-910C-0450-20A9-07B5E3FB475F}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7255c0ab91a42c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3" id="{7BF1F8CB-CE3D-0524-0D3E-24A1B5D84473}">
            <x14:dataBar gradient="1">
              <x14:cfvo type="min"/>
              <x14:cfvo type="max"/>
              <x14:fillColor rgb="FFA02B93"/>
            </x14:dataBar>
          </x14:cfRule>
          <xm:sqref>K2:K164</xm:sqref>
        </x14:conditionalFormatting>
        <x14:conditionalFormatting>
          <x14:cfRule type="dataBar" priority="55" id="{FC6F814A-910C-0450-20A9-07B5E3FB475F}">
            <x14:dataBar gradient="1">
              <x14:cfvo type="min"/>
              <x14:cfvo type="max"/>
              <x14:fillColor rgb="FFA02B93"/>
            </x14:dataBar>
          </x14:cfRule>
          <xm:sqref>K2:K102</xm:sqref>
        </x14:conditionalFormatting>
      </x14:conditionalFormattings>
    </x:ext>
  </x:extLst>
</x:worksheet>
</file>